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94f7594d9844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 Simple" sheetId="1" r:id="R4825944d16ce481c"/>
    <x:sheet xmlns:r="http://schemas.openxmlformats.org/officeDocument/2006/relationships" name="2 Fermentacion" sheetId="2" r:id="R7ce8dd48b8eb4a1f"/>
    <x:sheet xmlns:r="http://schemas.openxmlformats.org/officeDocument/2006/relationships" name="3 Completo" sheetId="3" r:id="Rd696dfb245f54d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"/>
  </x:numFmts>
  <x:fonts count="4">
    <x:font>
      <x:sz val="11"/>
      <x:name val="Carlito"/>
    </x:font>
    <x:font>
      <x:sz val="11"/>
      <x:name val="Arial"/>
    </x:font>
    <x:font>
      <x:b/>
      <x:sz val="16"/>
      <x:color rgb="FF9B3D00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1D2"/>
      </x:patternFill>
    </x:fill>
    <x:fill>
      <x:patternFill patternType="solid">
        <x:fgColor rgb="FF713A2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1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200" fontId="1" fillId="3" borderId="0" xfId="0" applyNumberFormat="1" applyFont="1" applyFill="1" applyBorder="1"/>
    <x:xf numFmtId="200" fontId="3" fillId="3" borderId="0" xfId="0" applyNumberFormat="1" applyFont="1" applyFill="1" applyBorder="1"/>
  </x:cellXfs>
  <x:cellStyles count="1">
    <x:cellStyle name="Normal" xfId="0"/>
  </x:cellStyles>
  <x:dxfs count="50">
    <x:dxf>
      <x:font>
        <x:color rgb="FFA32020"/>
      </x:font>
      <x:fill>
        <x:patternFill patternType="solid">
          <x:bgColor rgb="FFFADBD8"/>
        </x:patternFill>
      </x:fill>
    </x:dxf>
    <x:dxf>
      <x:font>
        <x:color rgb="FFA32020"/>
      </x:font>
      <x:fill>
        <x:patternFill patternType="solid">
          <x:bgColor rgb="FFFADBD8"/>
        </x:patternFill>
      </x:fill>
    </x:dxf>
    <x:dxf>
      <x:font>
        <x:color rgb="FFA32020"/>
      </x:font>
      <x:fill>
        <x:patternFill patternType="solid">
          <x:bgColor rgb="FFFADBD8"/>
        </x:patternFill>
      </x:fill>
    </x:dxf>
    <x:dxf>
      <x:font>
        <x:color rgb="FFA32020"/>
      </x:font>
      <x:fill>
        <x:patternFill patternType="solid">
          <x:bgColor rgb="FFFADBD8"/>
        </x:patternFill>
      </x:fill>
    </x:dxf>
    <x:dxf>
      <x:font>
        <x:color rgb="FFA32020"/>
      </x:font>
      <x:fill>
        <x:patternFill patternType="solid">
          <x:bgColor rgb="FFFADBD8"/>
        </x:patternFill>
      </x:fill>
    </x:dxf>
    <x:dxf>
      <x:font>
        <x:color rgb="FFA32020"/>
      </x:font>
      <x:fill>
        <x:patternFill patternType="solid">
          <x:bgColor rgb="FFFADBD8"/>
        </x:patternFill>
      </x:fill>
    </x:dxf>
    <x:dxf>
      <x:font>
        <x:color rgb="FFA32020"/>
      </x:font>
      <x:fill>
        <x:patternFill patternType="solid">
          <x:bgColor rgb="FFFADBD8"/>
        </x:patternFill>
      </x:fill>
    </x:dxf>
    <x:dxf>
      <x:font>
        <x:color rgb="FFA32020"/>
      </x:font>
      <x:fill>
        <x:patternFill patternType="solid">
          <x:bgColor rgb="FFFADBD8"/>
        </x:patternFill>
      </x:fill>
    </x:dxf>
    <x:dxf>
      <x:font>
        <x:color rgb="FFA32020"/>
      </x:font>
      <x:fill>
        <x:patternFill patternType="solid">
          <x:bgColor rgb="FFFADBD8"/>
        </x:patternFill>
      </x:fill>
    </x:dxf>
    <x:dxf>
      <x:font>
        <x:color rgb="FFA32020"/>
      </x:font>
      <x:fill>
        <x:patternFill patternType="solid">
          <x:bgColor rgb="FFFADBD8"/>
        </x:patternFill>
      </x:fill>
    </x:dxf>
    <x:dxf>
      <x:font>
        <x:color rgb="FFA32020"/>
      </x:font>
      <x:fill>
        <x:patternFill patternType="solid">
          <x:bgColor rgb="FFFADBD8"/>
        </x:patternFill>
      </x:fill>
    </x:dxf>
    <x:dxf>
      <x:font>
        <x:color rgb="FFA32020"/>
      </x:font>
      <x:fill>
        <x:patternFill patternType="solid">
          <x:bgColor rgb="FFFADBD8"/>
        </x:patternFill>
      </x:fill>
    </x:dxf>
    <x:dxf>
      <x:font>
        <x:color rgb="FFA32020"/>
      </x:font>
      <x:fill>
        <x:patternFill patternType="solid">
          <x:bgColor rgb="FFFADBD8"/>
        </x:patternFill>
      </x:fill>
    </x:dxf>
    <x:dxf>
      <x:font>
        <x:color rgb="FFA32020"/>
      </x:font>
      <x:fill>
        <x:patternFill patternType="solid">
          <x:bgColor rgb="FFFADBD8"/>
        </x:patternFill>
      </x:fill>
    </x:dxf>
    <x:dxf>
      <x:font>
        <x:color rgb="FFA32020"/>
      </x:font>
      <x:fill>
        <x:patternFill patternType="solid">
          <x:bgColor rgb="FFFADBD8"/>
        </x:patternFill>
      </x:fill>
    </x:dxf>
    <x:dxf>
      <x:font>
        <x:color rgb="FFA32020"/>
      </x:font>
      <x:fill>
        <x:patternFill patternType="solid">
          <x:bgColor rgb="FFFADBD8"/>
        </x:patternFill>
      </x:fill>
    </x:dxf>
    <x:dxf>
      <x:font>
        <x:color rgb="FFA32020"/>
      </x:font>
      <x:fill>
        <x:patternFill patternType="solid">
          <x:bgColor rgb="FFFADBD8"/>
        </x:patternFill>
      </x:fill>
    </x:dxf>
    <x:dxf>
      <x:font>
        <x:color rgb="FFA32020"/>
      </x:font>
      <x:fill>
        <x:patternFill patternType="solid">
          <x:bgColor rgb="FFFADBD8"/>
        </x:patternFill>
      </x:fill>
    </x:dxf>
    <x:dxf>
      <x:font>
        <x:color rgb="FFA32020"/>
      </x:font>
      <x:fill>
        <x:patternFill patternType="solid">
          <x:bgColor rgb="FFFADBD8"/>
        </x:patternFill>
      </x:fill>
    </x:dxf>
    <x:dxf>
      <x:font>
        <x:color rgb="FFA32020"/>
      </x:font>
      <x:fill>
        <x:patternFill patternType="solid">
          <x:bgColor rgb="FFFADBD8"/>
        </x:patternFill>
      </x:fill>
    </x:dxf>
    <x:dxf>
      <x:font>
        <x:color rgb="FFA32020"/>
      </x:font>
      <x:fill>
        <x:patternFill patternType="solid">
          <x:bgColor rgb="FFFADBD8"/>
        </x:patternFill>
      </x:fill>
    </x:dxf>
    <x:dxf>
      <x:font>
        <x:color rgb="FFA32020"/>
      </x:font>
      <x:fill>
        <x:patternFill patternType="solid">
          <x:bgColor rgb="FFFADBD8"/>
        </x:patternFill>
      </x:fill>
    </x:dxf>
    <x:dxf>
      <x:font>
        <x:color rgb="FFA32020"/>
      </x:font>
      <x:fill>
        <x:patternFill patternType="solid">
          <x:bgColor rgb="FFFADBD8"/>
        </x:patternFill>
      </x:fill>
    </x:dxf>
    <x:dxf>
      <x:font>
        <x:color rgb="FFA32020"/>
      </x:font>
      <x:fill>
        <x:patternFill patternType="solid">
          <x:bgColor rgb="FFFADBD8"/>
        </x:patternFill>
      </x:fill>
    </x:dxf>
    <x:dxf>
      <x:font>
        <x:color rgb="FFA32020"/>
      </x:font>
      <x:fill>
        <x:patternFill patternType="solid">
          <x:bgColor rgb="FFFADBD8"/>
        </x:patternFill>
      </x:fill>
    </x:dxf>
    <x:dxf>
      <x:font>
        <x:color rgb="FFA32020"/>
      </x:font>
      <x:fill>
        <x:patternFill patternType="solid">
          <x:bgColor rgb="FFFADBD8"/>
        </x:patternFill>
      </x:fill>
    </x:dxf>
    <x:dxf>
      <x:font>
        <x:color rgb="FFA32020"/>
      </x:font>
      <x:fill>
        <x:patternFill patternType="solid">
          <x:bgColor rgb="FFFADBD8"/>
        </x:patternFill>
      </x:fill>
    </x:dxf>
    <x:dxf>
      <x:font>
        <x:color rgb="FFA32020"/>
      </x:font>
      <x:fill>
        <x:patternFill patternType="solid">
          <x:bgColor rgb="FFFADBD8"/>
        </x:patternFill>
      </x:fill>
    </x:dxf>
    <x:dxf>
      <x:font>
        <x:color rgb="FFA32020"/>
      </x:font>
      <x:fill>
        <x:patternFill patternType="solid">
          <x:bgColor rgb="FFFADBD8"/>
        </x:patternFill>
      </x:fill>
    </x:dxf>
    <x:dxf>
      <x:font>
        <x:color rgb="FFA32020"/>
      </x:font>
      <x:fill>
        <x:patternFill patternType="solid">
          <x:bgColor rgb="FFFADBD8"/>
        </x:patternFill>
      </x:fill>
    </x:dxf>
    <x:dxf>
      <x:font>
        <x:color rgb="FFA32020"/>
      </x:font>
      <x:fill>
        <x:patternFill patternType="solid">
          <x:bgColor rgb="FFFADBD8"/>
        </x:patternFill>
      </x:fill>
    </x:dxf>
    <x:dxf>
      <x:font>
        <x:color rgb="FFA32020"/>
      </x:font>
      <x:fill>
        <x:patternFill patternType="solid">
          <x:bgColor rgb="FFFADBD8"/>
        </x:patternFill>
      </x:fill>
    </x:dxf>
    <x:dxf>
      <x:font>
        <x:color rgb="FFA32020"/>
      </x:font>
      <x:fill>
        <x:patternFill patternType="solid">
          <x:bgColor rgb="FFFADBD8"/>
        </x:patternFill>
      </x:fill>
    </x:dxf>
    <x:dxf>
      <x:font>
        <x:color rgb="FFA32020"/>
      </x:font>
      <x:fill>
        <x:patternFill patternType="solid">
          <x:bgColor rgb="FFFADBD8"/>
        </x:patternFill>
      </x:fill>
    </x:dxf>
    <x:dxf>
      <x:font>
        <x:color rgb="FFA32020"/>
      </x:font>
      <x:fill>
        <x:patternFill patternType="solid">
          <x:bgColor rgb="FFFADBD8"/>
        </x:patternFill>
      </x:fill>
    </x:dxf>
    <x:dxf>
      <x:font>
        <x:color rgb="FFA32020"/>
      </x:font>
      <x:fill>
        <x:patternFill patternType="solid">
          <x:bgColor rgb="FFFADBD8"/>
        </x:patternFill>
      </x:fill>
    </x:dxf>
    <x:dxf>
      <x:font>
        <x:color rgb="FFA32020"/>
      </x:font>
      <x:fill>
        <x:patternFill patternType="solid">
          <x:bgColor rgb="FFFADBD8"/>
        </x:patternFill>
      </x:fill>
    </x:dxf>
    <x:dxf>
      <x:font>
        <x:color rgb="FFA32020"/>
      </x:font>
      <x:fill>
        <x:patternFill patternType="solid">
          <x:bgColor rgb="FFFADBD8"/>
        </x:patternFill>
      </x:fill>
    </x:dxf>
    <x:dxf>
      <x:font>
        <x:color rgb="FFA32020"/>
      </x:font>
      <x:fill>
        <x:patternFill patternType="solid">
          <x:bgColor rgb="FFFADBD8"/>
        </x:patternFill>
      </x:fill>
    </x:dxf>
    <x:dxf>
      <x:font>
        <x:color rgb="FFA32020"/>
      </x:font>
      <x:fill>
        <x:patternFill patternType="solid">
          <x:bgColor rgb="FFFADBD8"/>
        </x:patternFill>
      </x:fill>
    </x:dxf>
    <x:dxf>
      <x:font>
        <x:color rgb="FFA32020"/>
      </x:font>
      <x:fill>
        <x:patternFill patternType="solid">
          <x:bgColor rgb="FFFADBD8"/>
        </x:patternFill>
      </x:fill>
    </x:dxf>
    <x:dxf>
      <x:font>
        <x:color rgb="FFA32020"/>
      </x:font>
      <x:fill>
        <x:patternFill patternType="solid">
          <x:bgColor rgb="FFFADBD8"/>
        </x:patternFill>
      </x:fill>
    </x:dxf>
    <x:dxf>
      <x:font>
        <x:color rgb="FFA32020"/>
      </x:font>
      <x:fill>
        <x:patternFill patternType="solid">
          <x:bgColor rgb="FFFADBD8"/>
        </x:patternFill>
      </x:fill>
    </x:dxf>
    <x:dxf>
      <x:font>
        <x:color rgb="FFA32020"/>
      </x:font>
      <x:fill>
        <x:patternFill patternType="solid">
          <x:bgColor rgb="FFFADBD8"/>
        </x:patternFill>
      </x:fill>
    </x:dxf>
    <x:dxf>
      <x:font>
        <x:color rgb="FFA32020"/>
      </x:font>
      <x:fill>
        <x:patternFill patternType="solid">
          <x:bgColor rgb="FFFADBD8"/>
        </x:patternFill>
      </x:fill>
    </x:dxf>
    <x:dxf>
      <x:font>
        <x:color rgb="FFA32020"/>
      </x:font>
      <x:fill>
        <x:patternFill patternType="solid">
          <x:bgColor rgb="FFFADBD8"/>
        </x:patternFill>
      </x:fill>
    </x:dxf>
    <x:dxf>
      <x:font>
        <x:color rgb="FFA32020"/>
      </x:font>
      <x:fill>
        <x:patternFill patternType="solid">
          <x:bgColor rgb="FFFADBD8"/>
        </x:patternFill>
      </x:fill>
    </x:dxf>
    <x:dxf>
      <x:font>
        <x:color rgb="FFA32020"/>
      </x:font>
      <x:fill>
        <x:patternFill patternType="solid">
          <x:bgColor rgb="FFFADBD8"/>
        </x:patternFill>
      </x:fill>
    </x:dxf>
    <x:dxf>
      <x:font>
        <x:color rgb="FFA32020"/>
      </x:font>
      <x:fill>
        <x:patternFill patternType="solid">
          <x:bgColor rgb="FFFADBD8"/>
        </x:patternFill>
      </x:fill>
    </x:dxf>
    <x:dxf>
      <x:font>
        <x:color rgb="FFA32020"/>
      </x:font>
      <x:fill>
        <x:patternFill patternType="solid">
          <x:bgColor rgb="FFFADB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2a3983e7e249dd" /><Relationship Type="http://schemas.openxmlformats.org/officeDocument/2006/relationships/theme" Target="/xl/theme/theme1.xml" Id="R6c8e7563c4ae478c" /><Relationship Type="http://schemas.openxmlformats.org/officeDocument/2006/relationships/sharedStrings" Target="/xl/sharedStrings.xml" Id="R8cc27b77893d4658" /><Relationship Type="http://schemas.openxmlformats.org/officeDocument/2006/relationships/worksheet" Target="/xl/worksheets/sheet1.xml" Id="R4825944d16ce481c" /><Relationship Type="http://schemas.openxmlformats.org/officeDocument/2006/relationships/worksheet" Target="/xl/worksheets/sheet2.xml" Id="R7ce8dd48b8eb4a1f" /><Relationship Type="http://schemas.openxmlformats.org/officeDocument/2006/relationships/worksheet" Target="/xl/worksheets/sheet3.xml" Id="Rd696dfb245f54d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713A20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62" hidden="0" customWidth="1"/>
    <x:col min="2" max="2" width="24" hidden="0" customWidth="1"/>
    <x:col min="3" max="3" width="31" hidden="0" customWidth="1"/>
    <x:col min="4" max="4" width="78" hidden="0" customWidth="1"/>
  </x:cols>
  <x:sheetData>
    <x:row r="1" ht="25" customHeight="1">
      <x:c r="A1" s="3" t="str">
        <x:v>BCE · Simple · masa total</x:v>
      </x:c>
      <x:c r="B1" s="1" t="str"/>
      <x:c r="C1" s="1" t="str"/>
      <x:c r="D1" s="1" t="str"/>
    </x:row>
    <x:row r="2" ht="25" customHeight="1">
      <x:c r="A2" s="1" t="str">
        <x:v>Un lote; supuestos didácticos editables. No son mediciones verificadas.</x:v>
      </x:c>
      <x:c r="B2" s="1" t="str"/>
      <x:c r="C2" s="1" t="str"/>
      <x:c r="D2" s="1" t="str"/>
    </x:row>
    <x:row r="3" ht="25" customHeight="1">
      <x:c r="A3" s="6" t="str">
        <x:v>Dato / resultado</x:v>
      </x:c>
      <x:c r="B3" s="6" t="str">
        <x:v>Valor</x:v>
      </x:c>
      <x:c r="C3" s="6" t="str">
        <x:v>Unidad</x:v>
      </x:c>
      <x:c r="D3" s="6" t="str">
        <x:v>Criterio y base</x:v>
      </x:c>
    </x:row>
    <x:row r="4" ht="25" customHeight="1">
      <x:c r="A4" s="1" t="str">
        <x:v>Cerveza terminada</x:v>
      </x:c>
      <x:c r="B4" s="4" t="n">
        <x:v>320</x:v>
      </x:c>
      <x:c r="C4" s="1" t="str">
        <x:v>L</x:v>
      </x:c>
      <x:c r="D4" s="2" t="str">
        <x:v>Volumen final del lote, no capacidad del tanque.</x:v>
      </x:c>
    </x:row>
    <x:row r="5" ht="25" customHeight="1">
      <x:c r="A5" s="1" t="str">
        <x:v>Densidad de cerveza</x:v>
      </x:c>
      <x:c r="B5" s="4" t="n">
        <x:v>1.01</x:v>
      </x:c>
      <x:c r="C5" s="1" t="str">
        <x:v>kg/L</x:v>
      </x:c>
      <x:c r="D5" s="2" t="str">
        <x:v>Dato supuesto del caso; usar una temperatura de referencia.</x:v>
      </x:c>
    </x:row>
    <x:row r="6" ht="25" customHeight="1">
      <x:c r="A6" s="1" t="str">
        <x:v>Densidad del mosto</x:v>
      </x:c>
      <x:c r="B6" s="4" t="n">
        <x:v>1.04</x:v>
      </x:c>
      <x:c r="C6" s="1" t="str">
        <x:v>kg/L</x:v>
      </x:c>
      <x:c r="D6" s="2" t="str">
        <x:v>Dato supuesto; para convertir masa de mosto en volumen.</x:v>
      </x:c>
    </x:row>
    <x:row r="7" ht="25" customHeight="1">
      <x:c r="A7" s="1" t="str">
        <x:v>Densidad aparente del bagazo húmedo</x:v>
      </x:c>
      <x:c r="B7" s="4" t="n">
        <x:v>0.65</x:v>
      </x:c>
      <x:c r="C7" s="1" t="str">
        <x:v>kg/L</x:v>
      </x:c>
      <x:c r="D7" s="2" t="str">
        <x:v>Depende del escurrido y la compactación; dato del caso.</x:v>
      </x:c>
    </x:row>
    <x:row r="8" ht="25" customHeight="1">
      <x:c r="A8" s="1" t="str">
        <x:v>Bagazo / volumen previo</x:v>
      </x:c>
      <x:c r="B8" s="4" t="n">
        <x:v>25</x:v>
      </x:c>
      <x:c r="C8" s="1" t="str">
        <x:v>%</x:v>
      </x:c>
      <x:c r="D8" s="2" t="str">
        <x:v>Relación volumétrica aproximada, no porcentaje de masa.</x:v>
      </x:c>
    </x:row>
    <x:row r="9" ht="25" customHeight="1">
      <x:c r="A9" s="1" t="str">
        <x:v>Agua de maceración</x:v>
      </x:c>
      <x:c r="B9" s="4" t="n">
        <x:v>165</x:v>
      </x:c>
      <x:c r="C9" s="1" t="str">
        <x:v>kg</x:v>
      </x:c>
      <x:c r="D9" s="2" t="str">
        <x:v>Entrada por lote.</x:v>
      </x:c>
    </x:row>
    <x:row r="10" ht="25" customHeight="1">
      <x:c r="A10" s="1" t="str">
        <x:v>Agua de lavado medida o ingresada</x:v>
      </x:c>
      <x:c r="B10" s="4" t="n">
        <x:v>220.79375</x:v>
      </x:c>
      <x:c r="C10" s="1" t="str">
        <x:v>kg</x:v>
      </x:c>
      <x:c r="D10" s="2" t="str">
        <x:v>Solo se usa para verificar; en diseño se calcula.</x:v>
      </x:c>
    </x:row>
    <x:row r="11" ht="25" customHeight="1">
      <x:c r="A11" s="1" t="str">
        <x:v>Malta de semillas</x:v>
      </x:c>
      <x:c r="B11" s="4" t="n">
        <x:v>55</x:v>
      </x:c>
      <x:c r="C11" s="1" t="str">
        <x:v>kg</x:v>
      </x:c>
      <x:c r="D11" s="2" t="str">
        <x:v>Masa de materia prima de la receta.</x:v>
      </x:c>
    </x:row>
    <x:row r="12" ht="25" customHeight="1">
      <x:c r="A12" s="1" t="str">
        <x:v>Aditivos de maceración / filtración</x:v>
      </x:c>
      <x:c r="B12" s="4" t="n">
        <x:v>2</x:v>
      </x:c>
      <x:c r="C12" s="1" t="str">
        <x:v>kg</x:v>
      </x:c>
      <x:c r="D12" s="2" t="str">
        <x:v>Grupo de auxiliares de esta etapa.</x:v>
      </x:c>
    </x:row>
    <x:row r="13" ht="25" customHeight="1">
      <x:c r="A13" s="1" t="str">
        <x:v>Aditivos de cocción</x:v>
      </x:c>
      <x:c r="B13" s="4" t="n">
        <x:v>0.5</x:v>
      </x:c>
      <x:c r="C13" s="1" t="str">
        <x:v>kg</x:v>
      </x:c>
      <x:c r="D13" s="2" t="str">
        <x:v>Lúpulo, clarificante y otros, agrupados.</x:v>
      </x:c>
    </x:row>
    <x:row r="14" ht="25" customHeight="1">
      <x:c r="A14" s="1" t="str">
        <x:v>Levadura añadida</x:v>
      </x:c>
      <x:c r="B14" s="4" t="n">
        <x:v>0.25</x:v>
      </x:c>
      <x:c r="C14" s="1" t="str">
        <x:v>kg</x:v>
      </x:c>
      <x:c r="D14" s="2" t="str">
        <x:v>Masa de la corriente añadida al fermentador.</x:v>
      </x:c>
    </x:row>
    <x:row r="15" ht="25" customHeight="1">
      <x:c r="A15" s="1" t="str">
        <x:v>Vapor de cocción</x:v>
      </x:c>
      <x:c r="B15" s="4" t="n">
        <x:v>25</x:v>
      </x:c>
      <x:c r="C15" s="1" t="str">
        <x:v>kg</x:v>
      </x:c>
      <x:c r="D15" s="2" t="str">
        <x:v>Agua que sale durante el hervor.</x:v>
      </x:c>
    </x:row>
    <x:row r="16" ht="25" customHeight="1">
      <x:c r="A16" s="1" t="str">
        <x:v>Sedimentos y purgas</x:v>
      </x:c>
      <x:c r="B16" s="4" t="n">
        <x:v>5</x:v>
      </x:c>
      <x:c r="C16" s="1" t="str">
        <x:v>kg</x:v>
      </x:c>
      <x:c r="D16" s="2" t="str">
        <x:v>Salida húmeda total; no duplicar en otras pérdidas.</x:v>
      </x:c>
    </x:row>
    <x:row r="17" ht="25" customHeight="1">
      <x:c r="A17" s="1" t="str">
        <x:v>CO₂ liberado</x:v>
      </x:c>
      <x:c r="B17" s="4" t="n">
        <x:v>6</x:v>
      </x:c>
      <x:c r="C17" s="1" t="str">
        <x:v>kg</x:v>
      </x:c>
      <x:c r="D17" s="2" t="str">
        <x:v>Se ingresa solo en el nivel simple.</x:v>
      </x:c>
    </x:row>
    <x:row r="18" ht="25" customHeight="1">
      <x:c r="A18" s="1" t="str">
        <x:v>Pérdidas líquidas al envasar</x:v>
      </x:c>
      <x:c r="B18" s="4" t="n">
        <x:v>8</x:v>
      </x:c>
      <x:c r="C18" s="1" t="str">
        <x:v>kg</x:v>
      </x:c>
      <x:c r="D18" s="2" t="str">
        <x:v>No incluye lo ya contabilizado en otras salidas.</x:v>
      </x:c>
    </x:row>
    <x:row r="19" ht="25" customHeight="1">
      <x:c r="A19" s="1" t="str">
        <x:v>Agua: 1 = calcular; 2 = verificar</x:v>
      </x:c>
      <x:c r="B19" s="4" t="n">
        <x:v>1</x:v>
      </x:c>
      <x:c r="C19" s="1" t="str"/>
      <x:c r="D19" s="2" t="str">
        <x:v>Diseño cierra por construcción.</x:v>
      </x:c>
    </x:row>
    <x:row r="20" ht="25" customHeight="1">
      <x:c r="A20" s="6" t="str">
        <x:v>Cálculo del caso</x:v>
      </x:c>
      <x:c r="B20" s="8" t="str"/>
      <x:c r="C20" s="6" t="str"/>
      <x:c r="D20" s="8" t="str"/>
    </x:row>
    <x:row r="21" ht="25" customHeight="1">
      <x:c r="A21" s="1" t="str">
        <x:v>Cerveza terminada</x:v>
      </x:c>
      <x:c r="B21" s="2" t="n">
        <x:f>B4*B5</x:f>
        <x:v>323.2</x:v>
      </x:c>
      <x:c r="C21" s="1" t="str">
        <x:v>kg</x:v>
      </x:c>
      <x:c r="D21" s="2" t="str"/>
    </x:row>
    <x:row r="22" ht="25" customHeight="1">
      <x:c r="A22" s="1" t="str">
        <x:v>Cerveza antes de envasar</x:v>
      </x:c>
      <x:c r="B22" s="2" t="n">
        <x:f>B21+B18</x:f>
        <x:v>331.2</x:v>
      </x:c>
      <x:c r="C22" s="1" t="str">
        <x:v>kg</x:v>
      </x:c>
      <x:c r="D22" s="2" t="str"/>
    </x:row>
    <x:row r="23" ht="25" customHeight="1">
      <x:c r="A23" s="1" t="str">
        <x:v>CO₂ liberado ingresado</x:v>
      </x:c>
      <x:c r="B23" s="2" t="n">
        <x:f>B17</x:f>
        <x:v>6</x:v>
      </x:c>
      <x:c r="C23" s="1" t="str">
        <x:v>kg</x:v>
      </x:c>
      <x:c r="D23" s="2" t="str"/>
    </x:row>
    <x:row r="24" ht="25" customHeight="1">
      <x:c r="A24" s="1" t="str">
        <x:v>Mosto limpio antes de inocular</x:v>
      </x:c>
      <x:c r="B24" s="2" t="n">
        <x:f>B22+B23-B14</x:f>
        <x:v>336.95</x:v>
      </x:c>
      <x:c r="C24" s="1" t="str">
        <x:v>kg</x:v>
      </x:c>
      <x:c r="D24" s="2" t="str"/>
    </x:row>
    <x:row r="25" ht="25" customHeight="1">
      <x:c r="A25" s="1" t="str">
        <x:v>Mosto antes de sedimentar</x:v>
      </x:c>
      <x:c r="B25" s="2" t="n">
        <x:f>B24+B16</x:f>
        <x:v>341.95</x:v>
      </x:c>
      <x:c r="C25" s="1" t="str">
        <x:v>kg</x:v>
      </x:c>
      <x:c r="D25" s="2" t="str"/>
    </x:row>
    <x:row r="26" ht="25" customHeight="1">
      <x:c r="A26" s="1" t="str">
        <x:v>Mosto filtrado antes de cocción</x:v>
      </x:c>
      <x:c r="B26" s="2" t="n">
        <x:f>B25+B15-B13</x:f>
        <x:v>366.45</x:v>
      </x:c>
      <x:c r="C26" s="1" t="str">
        <x:v>kg</x:v>
      </x:c>
      <x:c r="D26" s="2" t="str"/>
    </x:row>
    <x:row r="27" ht="25" customHeight="1">
      <x:c r="A27" s="1" t="str">
        <x:v>Volumen de filtrado</x:v>
      </x:c>
      <x:c r="B27" s="2" t="n">
        <x:f>B26/B6</x:f>
        <x:v>352.3557692307692</x:v>
      </x:c>
      <x:c r="C27" s="1" t="str">
        <x:v>L</x:v>
      </x:c>
      <x:c r="D27" s="2" t="str"/>
    </x:row>
    <x:row r="28" ht="25" customHeight="1">
      <x:c r="A28" s="1" t="str">
        <x:v>Volumen previo aproximado</x:v>
      </x:c>
      <x:c r="B28" s="2" t="n">
        <x:f>B27/(1-B8/100)</x:f>
        <x:v>469.8076923076923</x:v>
      </x:c>
      <x:c r="C28" s="1" t="str">
        <x:v>L</x:v>
      </x:c>
      <x:c r="D28" s="2" t="str"/>
    </x:row>
    <x:row r="29" ht="25" customHeight="1">
      <x:c r="A29" s="1" t="str">
        <x:v>Volumen de bagazo</x:v>
      </x:c>
      <x:c r="B29" s="2" t="n">
        <x:f>B28*B8/100</x:f>
        <x:v>117.45192307692308</x:v>
      </x:c>
      <x:c r="C29" s="1" t="str">
        <x:v>L</x:v>
      </x:c>
      <x:c r="D29" s="2" t="str"/>
    </x:row>
    <x:row r="30" ht="25" customHeight="1">
      <x:c r="A30" s="1" t="str">
        <x:v>Bagazo húmedo</x:v>
      </x:c>
      <x:c r="B30" s="2" t="n">
        <x:f>B29*B7</x:f>
        <x:v>76.34375</x:v>
      </x:c>
      <x:c r="C30" s="1" t="str">
        <x:v>kg</x:v>
      </x:c>
      <x:c r="D30" s="2" t="str"/>
    </x:row>
    <x:row r="31" ht="25" customHeight="1">
      <x:c r="A31" s="1" t="str">
        <x:v>Agua total requerida</x:v>
      </x:c>
      <x:c r="B31" s="2" t="n">
        <x:f>B21+B30+B15+B16+B23+B18-B11-B12-B13-B14</x:f>
        <x:v>385.79375</x:v>
      </x:c>
      <x:c r="C31" s="1" t="str">
        <x:v>kg</x:v>
      </x:c>
      <x:c r="D31" s="2" t="str"/>
    </x:row>
    <x:row r="32" ht="25" customHeight="1">
      <x:c r="A32" s="1" t="str">
        <x:v>Agua de lavado requerida</x:v>
      </x:c>
      <x:c r="B32" s="2" t="n">
        <x:f>B31-B9</x:f>
        <x:v>220.79375</x:v>
      </x:c>
      <x:c r="C32" s="1" t="str">
        <x:v>kg</x:v>
      </x:c>
      <x:c r="D32" s="2" t="str"/>
    </x:row>
    <x:row r="33" ht="25" customHeight="1">
      <x:c r="A33" s="1" t="str">
        <x:v>Agua de lavado utilizada</x:v>
      </x:c>
      <x:c r="B33" s="2" t="n">
        <x:f>IF(B19&lt;2,B32,B10)</x:f>
        <x:v>220.79375</x:v>
      </x:c>
      <x:c r="C33" s="1" t="str">
        <x:v>kg</x:v>
      </x:c>
      <x:c r="D33" s="2" t="str"/>
    </x:row>
    <x:row r="34" ht="25" customHeight="1">
      <x:c r="A34" s="1" t="str">
        <x:v>Agua total utilizada</x:v>
      </x:c>
      <x:c r="B34" s="2" t="n">
        <x:f>B9+B33</x:f>
        <x:v>385.79375</x:v>
      </x:c>
      <x:c r="C34" s="1" t="str">
        <x:v>kg</x:v>
      </x:c>
      <x:c r="D34" s="2" t="str"/>
    </x:row>
    <x:row r="35" ht="25" customHeight="1">
      <x:c r="A35" s="1" t="str">
        <x:v>Total de entradas</x:v>
      </x:c>
      <x:c r="B35" s="2" t="n">
        <x:f>B9+B33+B11+B12+B13+B14</x:f>
        <x:v>443.54375</x:v>
      </x:c>
      <x:c r="C35" s="1" t="str">
        <x:v>kg</x:v>
      </x:c>
      <x:c r="D35" s="2" t="str"/>
    </x:row>
    <x:row r="36" ht="25" customHeight="1">
      <x:c r="A36" s="1" t="str">
        <x:v>Total de salidas</x:v>
      </x:c>
      <x:c r="B36" s="2" t="n">
        <x:f>B21+B30+B15+B16+B23+B18</x:f>
        <x:v>443.54375</x:v>
      </x:c>
      <x:c r="C36" s="1" t="str">
        <x:v>kg</x:v>
      </x:c>
      <x:c r="D36" s="2" t="str"/>
    </x:row>
    <x:row r="37" ht="25" customHeight="1">
      <x:c r="A37" s="1" t="str">
        <x:v>Entradas − salidas</x:v>
      </x:c>
      <x:c r="B37" s="2" t="n">
        <x:f>B35-B36</x:f>
        <x:v>0</x:v>
      </x:c>
      <x:c r="C37" s="1" t="str">
        <x:v>kg</x:v>
      </x:c>
      <x:c r="D37" s="2" t="str"/>
    </x:row>
    <x:row r="38" ht="25" customHeight="1">
      <x:c r="A38" s="1" t="str">
        <x:v>Diferencia / entradas</x:v>
      </x:c>
      <x:c r="B38" s="2" t="n">
        <x:f>B37/B35*100</x:f>
        <x:v>0</x:v>
      </x:c>
      <x:c r="C38" s="1" t="str">
        <x:v>%</x:v>
      </x:c>
      <x:c r="D38" s="2" t="str"/>
    </x:row>
    <x:row r="39" ht="25" customHeight="1">
      <x:c r="A39" s="6" t="str">
        <x:v>Etapa</x:v>
      </x:c>
      <x:c r="B39" s="8" t="str">
        <x:v>Entra (kg)</x:v>
      </x:c>
      <x:c r="C39" s="6" t="str">
        <x:v>Sale (kg)</x:v>
      </x:c>
      <x:c r="D39" s="8" t="str">
        <x:v>Diferencia (kg)</x:v>
      </x:c>
    </x:row>
    <x:row r="40" ht="25" customHeight="1">
      <x:c r="A40" s="1" t="str">
        <x:v>Molienda</x:v>
      </x:c>
      <x:c r="B40" s="2" t="n">
        <x:f>B11</x:f>
        <x:v>55</x:v>
      </x:c>
      <x:c r="C40" s="2" t="n">
        <x:f>B11</x:f>
        <x:v>55</x:v>
      </x:c>
      <x:c r="D40" s="2" t="n">
        <x:f>B40-C40</x:f>
        <x:v>0</x:v>
      </x:c>
    </x:row>
    <x:row r="41" ht="25" customHeight="1">
      <x:c r="A41" s="1" t="str">
        <x:v>Maceración</x:v>
      </x:c>
      <x:c r="B41" s="2" t="n">
        <x:f>B11+B9+B12</x:f>
        <x:v>222</x:v>
      </x:c>
      <x:c r="C41" s="2" t="n">
        <x:f>B11+B9+B12</x:f>
        <x:v>222</x:v>
      </x:c>
      <x:c r="D41" s="2" t="n">
        <x:f>B41-C41</x:f>
        <x:v>0</x:v>
      </x:c>
    </x:row>
    <x:row r="42" ht="25" customHeight="1">
      <x:c r="A42" s="1" t="str">
        <x:v>Filtración y lavado</x:v>
      </x:c>
      <x:c r="B42" s="2" t="n">
        <x:f>B11+B9+B12+B33</x:f>
        <x:v>442.79375</x:v>
      </x:c>
      <x:c r="C42" s="2" t="n">
        <x:f>B26+B30</x:f>
        <x:v>442.79375</x:v>
      </x:c>
      <x:c r="D42" s="2" t="n">
        <x:f>B42-C42</x:f>
        <x:v>0</x:v>
      </x:c>
    </x:row>
    <x:row r="43" ht="25" customHeight="1">
      <x:c r="A43" s="1" t="str">
        <x:v>Cocción</x:v>
      </x:c>
      <x:c r="B43" s="2" t="n">
        <x:f>B26+B13</x:f>
        <x:v>366.95</x:v>
      </x:c>
      <x:c r="C43" s="2" t="n">
        <x:f>B25+B15</x:f>
        <x:v>366.95</x:v>
      </x:c>
      <x:c r="D43" s="2" t="n">
        <x:f>B43-C43</x:f>
        <x:v>0</x:v>
      </x:c>
    </x:row>
    <x:row r="44" ht="25" customHeight="1">
      <x:c r="A44" s="1" t="str">
        <x:v>Sedimentación</x:v>
      </x:c>
      <x:c r="B44" s="2" t="n">
        <x:f>B25</x:f>
        <x:v>341.95</x:v>
      </x:c>
      <x:c r="C44" s="2" t="n">
        <x:f>B24+B16</x:f>
        <x:v>341.95</x:v>
      </x:c>
      <x:c r="D44" s="2" t="n">
        <x:f>B44-C44</x:f>
        <x:v>0</x:v>
      </x:c>
    </x:row>
    <x:row r="45" ht="25" customHeight="1">
      <x:c r="A45" s="1" t="str">
        <x:v>Enfriamiento</x:v>
      </x:c>
      <x:c r="B45" s="2" t="n">
        <x:f>B24</x:f>
        <x:v>336.95</x:v>
      </x:c>
      <x:c r="C45" s="2" t="n">
        <x:f>B24</x:f>
        <x:v>336.95</x:v>
      </x:c>
      <x:c r="D45" s="2" t="n">
        <x:f>B45-C45</x:f>
        <x:v>0</x:v>
      </x:c>
    </x:row>
    <x:row r="46" ht="25" customHeight="1">
      <x:c r="A46" s="1" t="str">
        <x:v>Fermentación</x:v>
      </x:c>
      <x:c r="B46" s="2" t="n">
        <x:f>B24+B14</x:f>
        <x:v>337.2</x:v>
      </x:c>
      <x:c r="C46" s="2" t="n">
        <x:f>B22+B23</x:f>
        <x:v>337.2</x:v>
      </x:c>
      <x:c r="D46" s="2" t="n">
        <x:f>B46-C46</x:f>
        <x:v>0</x:v>
      </x:c>
    </x:row>
    <x:row r="47" ht="25" customHeight="1">
      <x:c r="A47" s="1" t="str">
        <x:v>Maduración</x:v>
      </x:c>
      <x:c r="B47" s="2" t="n">
        <x:f>B22</x:f>
        <x:v>331.2</x:v>
      </x:c>
      <x:c r="C47" s="2" t="n">
        <x:f>B22</x:f>
        <x:v>331.2</x:v>
      </x:c>
      <x:c r="D47" s="2" t="n">
        <x:f>B47-C47</x:f>
        <x:v>0</x:v>
      </x:c>
    </x:row>
    <x:row r="48" ht="25" customHeight="1">
      <x:c r="A48" s="1" t="str">
        <x:v>Enfriamiento y envasado</x:v>
      </x:c>
      <x:c r="B48" s="2" t="n">
        <x:f>B22</x:f>
        <x:v>331.2</x:v>
      </x:c>
      <x:c r="C48" s="2" t="n">
        <x:f>B21+B18</x:f>
        <x:v>331.2</x:v>
      </x:c>
      <x:c r="D48" s="2" t="n">
        <x:f>B48-C48</x:f>
        <x:v>0</x:v>
      </x:c>
    </x:row>
    <x:row r="49" ht="25" customHeight="1">
      <x:c r="A49" s="6" t="str">
        <x:v>Entradas</x:v>
      </x:c>
      <x:c r="B49" s="8" t="str">
        <x:v>kg/lote</x:v>
      </x:c>
      <x:c r="C49" s="6" t="str">
        <x:v>Salidas</x:v>
      </x:c>
      <x:c r="D49" s="8" t="str">
        <x:v>kg/lote</x:v>
      </x:c>
    </x:row>
    <x:row r="50" ht="25" customHeight="1">
      <x:c r="A50" s="1" t="str">
        <x:v>Agua de maceración</x:v>
      </x:c>
      <x:c r="B50" s="2" t="n">
        <x:f>B9</x:f>
        <x:v>165</x:v>
      </x:c>
      <x:c r="C50" s="1" t="str">
        <x:v>Cerveza final</x:v>
      </x:c>
      <x:c r="D50" s="2" t="n">
        <x:f>B21</x:f>
        <x:v>323.2</x:v>
      </x:c>
    </x:row>
    <x:row r="51" ht="25" customHeight="1">
      <x:c r="A51" s="1" t="str">
        <x:v>Agua de lavado</x:v>
      </x:c>
      <x:c r="B51" s="2" t="n">
        <x:f>B33</x:f>
        <x:v>220.79375</x:v>
      </x:c>
      <x:c r="C51" s="1" t="str">
        <x:v>Bagazo húmedo</x:v>
      </x:c>
      <x:c r="D51" s="2" t="n">
        <x:f>B30</x:f>
        <x:v>76.34375</x:v>
      </x:c>
    </x:row>
    <x:row r="52" ht="25" customHeight="1">
      <x:c r="A52" s="1" t="str">
        <x:v>Malta de semillas</x:v>
      </x:c>
      <x:c r="B52" s="2" t="n">
        <x:f>B11</x:f>
        <x:v>55</x:v>
      </x:c>
      <x:c r="C52" s="1" t="str">
        <x:v>Vapor</x:v>
      </x:c>
      <x:c r="D52" s="2" t="n">
        <x:f>B15</x:f>
        <x:v>25</x:v>
      </x:c>
    </x:row>
    <x:row r="53" ht="25" customHeight="1">
      <x:c r="A53" s="1" t="str">
        <x:v>Aditivos maceración / filtración</x:v>
      </x:c>
      <x:c r="B53" s="2" t="n">
        <x:f>B12</x:f>
        <x:v>2</x:v>
      </x:c>
      <x:c r="C53" s="1" t="str">
        <x:v>Sedimentos y purgas</x:v>
      </x:c>
      <x:c r="D53" s="2" t="n">
        <x:f>B16</x:f>
        <x:v>5</x:v>
      </x:c>
    </x:row>
    <x:row r="54" ht="25" customHeight="1">
      <x:c r="A54" s="1" t="str">
        <x:v>Aditivos cocción</x:v>
      </x:c>
      <x:c r="B54" s="2" t="n">
        <x:f>B13</x:f>
        <x:v>0.5</x:v>
      </x:c>
      <x:c r="C54" s="1" t="str">
        <x:v>CO₂</x:v>
      </x:c>
      <x:c r="D54" s="2" t="n">
        <x:f>B23</x:f>
        <x:v>6</x:v>
      </x:c>
    </x:row>
    <x:row r="55" ht="25" customHeight="1">
      <x:c r="A55" s="1" t="str">
        <x:v>Levadura añadida</x:v>
      </x:c>
      <x:c r="B55" s="2" t="n">
        <x:f>B14</x:f>
        <x:v>0.25</x:v>
      </x:c>
      <x:c r="C55" s="1" t="str">
        <x:v>Pérdidas líquidas</x:v>
      </x:c>
      <x:c r="D55" s="2" t="n">
        <x:f>B18</x:f>
        <x:v>8</x:v>
      </x:c>
    </x:row>
  </x:sheetData>
  <x:conditionalFormatting sqref="D40:D40">
    <x:cfRule type="cellIs" dxfId="0" priority="1" operator="notBetween">
      <x:formula>-0.00001</x:formula>
      <x:formula>0.00001</x:formula>
    </x:cfRule>
  </x:conditionalFormatting>
  <x:conditionalFormatting sqref="D41:D41">
    <x:cfRule type="cellIs" dxfId="1" priority="2" operator="notBetween">
      <x:formula>-0.00001</x:formula>
      <x:formula>0.00001</x:formula>
    </x:cfRule>
  </x:conditionalFormatting>
  <x:conditionalFormatting sqref="D42:D42">
    <x:cfRule type="cellIs" dxfId="2" priority="3" operator="notBetween">
      <x:formula>-0.00001</x:formula>
      <x:formula>0.00001</x:formula>
    </x:cfRule>
  </x:conditionalFormatting>
  <x:conditionalFormatting sqref="D43:D43">
    <x:cfRule type="cellIs" dxfId="3" priority="4" operator="notBetween">
      <x:formula>-0.00001</x:formula>
      <x:formula>0.00001</x:formula>
    </x:cfRule>
  </x:conditionalFormatting>
  <x:conditionalFormatting sqref="D44:D44">
    <x:cfRule type="cellIs" dxfId="4" priority="5" operator="notBetween">
      <x:formula>-0.00001</x:formula>
      <x:formula>0.00001</x:formula>
    </x:cfRule>
  </x:conditionalFormatting>
  <x:conditionalFormatting sqref="D45:D45">
    <x:cfRule type="cellIs" dxfId="5" priority="6" operator="notBetween">
      <x:formula>-0.00001</x:formula>
      <x:formula>0.00001</x:formula>
    </x:cfRule>
  </x:conditionalFormatting>
  <x:conditionalFormatting sqref="D46:D46">
    <x:cfRule type="cellIs" dxfId="6" priority="7" operator="notBetween">
      <x:formula>-0.00001</x:formula>
      <x:formula>0.00001</x:formula>
    </x:cfRule>
  </x:conditionalFormatting>
  <x:conditionalFormatting sqref="D47:D47">
    <x:cfRule type="cellIs" dxfId="7" priority="8" operator="notBetween">
      <x:formula>-0.00001</x:formula>
      <x:formula>0.00001</x:formula>
    </x:cfRule>
  </x:conditionalFormatting>
  <x:conditionalFormatting sqref="D48:D48">
    <x:cfRule type="cellIs" dxfId="8" priority="9" operator="notBetween">
      <x:formula>-0.00001</x:formula>
      <x:formula>0.00001</x:formula>
    </x:cfRule>
  </x:conditionalFormatting>
  <x:conditionalFormatting sqref="B37:B37">
    <x:cfRule type="cellIs" dxfId="9" priority="10" operator="notBetween">
      <x:formula>-0.00001</x:formula>
      <x:formula>0.00001</x:formula>
    </x:cfRule>
  </x:conditionalFormatting>
  <x:conditionalFormatting sqref="B33:B33">
    <x:cfRule type="cellIs" dxfId="10" priority="11" operator="lessThan">
      <x:formula>0</x:formula>
    </x:cfRule>
  </x:conditionalFormatting>
  <x:conditionalFormatting sqref="B24:B24">
    <x:cfRule type="cellIs" dxfId="11" priority="12" operator="lessThan">
      <x:formula>0</x:formula>
    </x:cfRule>
  </x:conditionalFormatting>
  <x:conditionalFormatting sqref="B26:B26">
    <x:cfRule type="cellIs" dxfId="12" priority="13" operator="lessThan">
      <x:formula>0</x:formula>
    </x:cfRule>
  </x:conditionalFormatting>
  <x:conditionalFormatting sqref="B34:B34">
    <x:cfRule type="cellIs" dxfId="13" priority="14" operator="lessThan">
      <x:formula>0</x:formula>
    </x:cfRule>
  </x:conditionalFormatting>
  <x:conditionalFormatting sqref="B30:B30">
    <x:cfRule type="cellIs" dxfId="14" priority="15" operator="lessThan">
      <x:formula>0</x:formula>
    </x:cfRule>
  </x:conditionalFormatting>
  <x:dataValidations count="16">
    <x:dataValidation type="list" sqref="B19">
      <x:formula1>"1,2"</x:formula1>
    </x:dataValidation>
    <x:dataValidation type="decimal" operator="greaterThanOrEqual" sqref="B4">
      <x:formula1>0</x:formula1>
    </x:dataValidation>
    <x:dataValidation type="decimal" operator="greaterThanOrEqual" sqref="B5">
      <x:formula1>0</x:formula1>
    </x:dataValidation>
    <x:dataValidation type="decimal" operator="greaterThanOrEqual" sqref="B6">
      <x:formula1>0</x:formula1>
    </x:dataValidation>
    <x:dataValidation type="decimal" operator="greaterThanOrEqual" sqref="B7">
      <x:formula1>0</x:formula1>
    </x:dataValidation>
    <x:dataValidation type="decimal" operator="between" sqref="B8">
      <x:formula1>0</x:formula1>
      <x:formula2>100</x:formula2>
    </x:dataValidation>
    <x:dataValidation type="decimal" operator="greaterThanOrEqual" sqref="B9">
      <x:formula1>0</x:formula1>
    </x:dataValidation>
    <x:dataValidation type="decimal" operator="greaterThanOrEqual" sqref="B10">
      <x:formula1>0</x:formula1>
    </x:dataValidation>
    <x:dataValidation type="decimal" operator="greaterThanOrEqual" sqref="B11">
      <x:formula1>0</x:formula1>
    </x:dataValidation>
    <x:dataValidation type="decimal" operator="greaterThanOrEqual" sqref="B12">
      <x:formula1>0</x:formula1>
    </x:dataValidation>
    <x:dataValidation type="decimal" operator="greaterThanOrEqual" sqref="B13">
      <x:formula1>0</x:formula1>
    </x:dataValidation>
    <x:dataValidation type="decimal" operator="greaterThanOrEqual" sqref="B14">
      <x:formula1>0</x:formula1>
    </x:dataValidation>
    <x:dataValidation type="decimal" operator="greaterThanOrEqual" sqref="B15">
      <x:formula1>0</x:formula1>
    </x:dataValidation>
    <x:dataValidation type="decimal" operator="greaterThanOrEqual" sqref="B16">
      <x:formula1>0</x:formula1>
    </x:dataValidation>
    <x:dataValidation type="decimal" operator="greaterThanOrEqual" sqref="B17">
      <x:formula1>0</x:formula1>
    </x:dataValidation>
    <x:dataValidation type="decimal" operator="greaterThanOrEqual" sqref="B18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A76630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62" hidden="0" customWidth="1"/>
    <x:col min="2" max="2" width="24" hidden="0" customWidth="1"/>
    <x:col min="3" max="3" width="31" hidden="0" customWidth="1"/>
    <x:col min="4" max="4" width="78" hidden="0" customWidth="1"/>
  </x:cols>
  <x:sheetData>
    <x:row r="1" ht="25" customHeight="1">
      <x:c r="A1" s="3" t="str">
        <x:v>BCE · Intermedio · azúcares y fermentación</x:v>
      </x:c>
      <x:c r="B1" s="1" t="str"/>
      <x:c r="C1" s="1" t="str"/>
      <x:c r="D1" s="1" t="str"/>
    </x:row>
    <x:row r="2" ht="25" customHeight="1">
      <x:c r="A2" s="1" t="str">
        <x:v>Un lote; supuestos didácticos editables. No son mediciones verificadas.</x:v>
      </x:c>
      <x:c r="B2" s="1" t="str"/>
      <x:c r="C2" s="1" t="str"/>
      <x:c r="D2" s="1" t="str"/>
    </x:row>
    <x:row r="3" ht="25" customHeight="1">
      <x:c r="A3" s="6" t="str">
        <x:v>Dato / resultado</x:v>
      </x:c>
      <x:c r="B3" s="6" t="str">
        <x:v>Valor</x:v>
      </x:c>
      <x:c r="C3" s="6" t="str">
        <x:v>Unidad</x:v>
      </x:c>
      <x:c r="D3" s="6" t="str">
        <x:v>Criterio y base</x:v>
      </x:c>
    </x:row>
    <x:row r="4" ht="25" customHeight="1">
      <x:c r="A4" s="1" t="str">
        <x:v>Cerveza terminada</x:v>
      </x:c>
      <x:c r="B4" s="4" t="n">
        <x:v>320</x:v>
      </x:c>
      <x:c r="C4" s="1" t="str">
        <x:v>L</x:v>
      </x:c>
      <x:c r="D4" s="2" t="str">
        <x:v>Volumen final del lote, no capacidad del tanque.</x:v>
      </x:c>
    </x:row>
    <x:row r="5" ht="25" customHeight="1">
      <x:c r="A5" s="1" t="str">
        <x:v>Densidad de cerveza</x:v>
      </x:c>
      <x:c r="B5" s="4" t="n">
        <x:v>1.01</x:v>
      </x:c>
      <x:c r="C5" s="1" t="str">
        <x:v>kg/L</x:v>
      </x:c>
      <x:c r="D5" s="2" t="str">
        <x:v>Dato supuesto del caso; usar una temperatura de referencia.</x:v>
      </x:c>
    </x:row>
    <x:row r="6" ht="25" customHeight="1">
      <x:c r="A6" s="1" t="str">
        <x:v>Densidad del mosto</x:v>
      </x:c>
      <x:c r="B6" s="4" t="n">
        <x:v>1.04</x:v>
      </x:c>
      <x:c r="C6" s="1" t="str">
        <x:v>kg/L</x:v>
      </x:c>
      <x:c r="D6" s="2" t="str">
        <x:v>Dato supuesto; para convertir masa de mosto en volumen.</x:v>
      </x:c>
    </x:row>
    <x:row r="7" ht="25" customHeight="1">
      <x:c r="A7" s="1" t="str">
        <x:v>Densidad aparente del bagazo húmedo</x:v>
      </x:c>
      <x:c r="B7" s="4" t="n">
        <x:v>0.65</x:v>
      </x:c>
      <x:c r="C7" s="1" t="str">
        <x:v>kg/L</x:v>
      </x:c>
      <x:c r="D7" s="2" t="str">
        <x:v>Depende del escurrido y la compactación; dato del caso.</x:v>
      </x:c>
    </x:row>
    <x:row r="8" ht="25" customHeight="1">
      <x:c r="A8" s="1" t="str">
        <x:v>Bagazo / volumen previo</x:v>
      </x:c>
      <x:c r="B8" s="4" t="n">
        <x:v>25</x:v>
      </x:c>
      <x:c r="C8" s="1" t="str">
        <x:v>%</x:v>
      </x:c>
      <x:c r="D8" s="2" t="str">
        <x:v>Relación volumétrica aproximada, no porcentaje de masa.</x:v>
      </x:c>
    </x:row>
    <x:row r="9" ht="25" customHeight="1">
      <x:c r="A9" s="1" t="str">
        <x:v>Agua de maceración</x:v>
      </x:c>
      <x:c r="B9" s="4" t="n">
        <x:v>165</x:v>
      </x:c>
      <x:c r="C9" s="1" t="str">
        <x:v>kg</x:v>
      </x:c>
      <x:c r="D9" s="2" t="str">
        <x:v>Entrada por lote.</x:v>
      </x:c>
    </x:row>
    <x:row r="10" ht="25" customHeight="1">
      <x:c r="A10" s="1" t="str">
        <x:v>Agua de lavado medida o ingresada</x:v>
      </x:c>
      <x:c r="B10" s="4" t="n">
        <x:v>220.79375</x:v>
      </x:c>
      <x:c r="C10" s="1" t="str">
        <x:v>kg</x:v>
      </x:c>
      <x:c r="D10" s="2" t="str">
        <x:v>Solo se usa para verificar; en diseño se calcula.</x:v>
      </x:c>
    </x:row>
    <x:row r="11" ht="25" customHeight="1">
      <x:c r="A11" s="1" t="str">
        <x:v>Malta de semillas</x:v>
      </x:c>
      <x:c r="B11" s="4" t="n">
        <x:v>55</x:v>
      </x:c>
      <x:c r="C11" s="1" t="str">
        <x:v>kg</x:v>
      </x:c>
      <x:c r="D11" s="2" t="str">
        <x:v>Masa de materia prima de la receta.</x:v>
      </x:c>
    </x:row>
    <x:row r="12" ht="25" customHeight="1">
      <x:c r="A12" s="1" t="str">
        <x:v>Aditivos de maceración / filtración</x:v>
      </x:c>
      <x:c r="B12" s="4" t="n">
        <x:v>2</x:v>
      </x:c>
      <x:c r="C12" s="1" t="str">
        <x:v>kg</x:v>
      </x:c>
      <x:c r="D12" s="2" t="str">
        <x:v>Grupo de auxiliares de esta etapa.</x:v>
      </x:c>
    </x:row>
    <x:row r="13" ht="25" customHeight="1">
      <x:c r="A13" s="1" t="str">
        <x:v>Aditivos de cocción</x:v>
      </x:c>
      <x:c r="B13" s="4" t="n">
        <x:v>0.5</x:v>
      </x:c>
      <x:c r="C13" s="1" t="str">
        <x:v>kg</x:v>
      </x:c>
      <x:c r="D13" s="2" t="str">
        <x:v>Lúpulo, clarificante y otros, agrupados.</x:v>
      </x:c>
    </x:row>
    <x:row r="14" ht="25" customHeight="1">
      <x:c r="A14" s="1" t="str">
        <x:v>Levadura añadida</x:v>
      </x:c>
      <x:c r="B14" s="4" t="n">
        <x:v>0.25</x:v>
      </x:c>
      <x:c r="C14" s="1" t="str">
        <x:v>kg</x:v>
      </x:c>
      <x:c r="D14" s="2" t="str">
        <x:v>Masa de la corriente añadida al fermentador.</x:v>
      </x:c>
    </x:row>
    <x:row r="15" ht="25" customHeight="1">
      <x:c r="A15" s="1" t="str">
        <x:v>Vapor de cocción</x:v>
      </x:c>
      <x:c r="B15" s="4" t="n">
        <x:v>25</x:v>
      </x:c>
      <x:c r="C15" s="1" t="str">
        <x:v>kg</x:v>
      </x:c>
      <x:c r="D15" s="2" t="str">
        <x:v>Agua que sale durante el hervor.</x:v>
      </x:c>
    </x:row>
    <x:row r="16" ht="25" customHeight="1">
      <x:c r="A16" s="1" t="str">
        <x:v>Sedimentos y purgas</x:v>
      </x:c>
      <x:c r="B16" s="4" t="n">
        <x:v>5</x:v>
      </x:c>
      <x:c r="C16" s="1" t="str">
        <x:v>kg</x:v>
      </x:c>
      <x:c r="D16" s="2" t="str">
        <x:v>Salida húmeda total; no duplicar en otras pérdidas.</x:v>
      </x:c>
    </x:row>
    <x:row r="17" ht="25" customHeight="1">
      <x:c r="A17" s="1" t="str">
        <x:v>Pérdidas líquidas al envasar</x:v>
      </x:c>
      <x:c r="B17" s="4" t="n">
        <x:v>8</x:v>
      </x:c>
      <x:c r="C17" s="1" t="str">
        <x:v>kg</x:v>
      </x:c>
      <x:c r="D17" s="2" t="str">
        <x:v>No incluye lo ya contabilizado en otras salidas.</x:v>
      </x:c>
    </x:row>
    <x:row r="18" ht="25" customHeight="1">
      <x:c r="A18" s="1" t="str">
        <x:v>Densidad de etanol de referencia</x:v>
      </x:c>
      <x:c r="B18" s="4" t="n">
        <x:v>0.789</x:v>
      </x:c>
      <x:c r="C18" s="1" t="str">
        <x:v>kg/L</x:v>
      </x:c>
      <x:c r="D18" s="2" t="str">
        <x:v>Aproximación a 20 °C; editable.</x:v>
      </x:c>
    </x:row>
    <x:row r="19" ht="25" customHeight="1">
      <x:c r="A19" s="1" t="str">
        <x:v>Maltosa dentro del azúcar</x:v>
      </x:c>
      <x:c r="B19" s="4" t="n">
        <x:v>83</x:v>
      </x:c>
      <x:c r="C19" s="1" t="str">
        <x:v>%</x:v>
      </x:c>
      <x:c r="D19" s="2" t="str">
        <x:v>El resto se representa como glucosa; supuesto de la fuente.</x:v>
      </x:c>
    </x:row>
    <x:row r="20" ht="25" customHeight="1">
      <x:c r="A20" s="1" t="str">
        <x:v>Objetivo de alcohol</x:v>
      </x:c>
      <x:c r="B20" s="4" t="n">
        <x:v>0.5</x:v>
      </x:c>
      <x:c r="C20" s="1" t="str">
        <x:v>% v/v</x:v>
      </x:c>
      <x:c r="D20" s="2" t="str">
        <x:v>0,5 L de etanol equivalente por cada 100 L finales.</x:v>
      </x:c>
    </x:row>
    <x:row r="21" ht="25" customHeight="1">
      <x:c r="A21" s="1" t="str">
        <x:v>Conversión manual del azúcar</x:v>
      </x:c>
      <x:c r="B21" s="4" t="n">
        <x:v>75</x:v>
      </x:c>
      <x:c r="C21" s="1" t="str">
        <x:v>%</x:v>
      </x:c>
      <x:c r="D21" s="2" t="str">
        <x:v>Dato de ensayo o supuesto para explorar; no es rendimiento de cerveza.</x:v>
      </x:c>
    </x:row>
    <x:row r="22" ht="25" customHeight="1">
      <x:c r="A22" s="1" t="str">
        <x:v>Azúcar recuperado al fermentador / malta</x:v>
      </x:c>
      <x:c r="B22" s="4" t="n">
        <x:v>58</x:v>
      </x:c>
      <x:c r="C22" s="1" t="str">
        <x:v>%</x:v>
      </x:c>
      <x:c r="D22" s="2" t="str">
        <x:v>Rendimiento efectivo después de las separaciones; no composición del grano.</x:v>
      </x:c>
    </x:row>
    <x:row r="23" ht="25" customHeight="1">
      <x:c r="A23" s="1" t="str">
        <x:v>Agua: 1 = calcular; 2 = verificar</x:v>
      </x:c>
      <x:c r="B23" s="4" t="n">
        <x:v>1</x:v>
      </x:c>
      <x:c r="C23" s="1" t="str"/>
      <x:c r="D23" s="2" t="str">
        <x:v>Diseño cierra por construcción.</x:v>
      </x:c>
    </x:row>
    <x:row r="24" ht="25" customHeight="1">
      <x:c r="A24" s="1" t="str">
        <x:v>Fermentación: 1 = objetivo; 2 = manual</x:v>
      </x:c>
      <x:c r="B24" s="4" t="n">
        <x:v>1</x:v>
      </x:c>
      <x:c r="C24" s="1" t="str"/>
      <x:c r="D24" s="2" t="str">
        <x:v>Conversión se calcula o se ingresa.</x:v>
      </x:c>
    </x:row>
    <x:row r="25" ht="25" customHeight="1">
      <x:c r="A25" s="6" t="str">
        <x:v>Cálculo del caso</x:v>
      </x:c>
      <x:c r="B25" s="8" t="str"/>
      <x:c r="C25" s="6" t="str"/>
      <x:c r="D25" s="8" t="str"/>
    </x:row>
    <x:row r="26" ht="25" customHeight="1">
      <x:c r="A26" s="1" t="str">
        <x:v>Cerveza terminada</x:v>
      </x:c>
      <x:c r="B26" s="2" t="n">
        <x:f>B4*B5</x:f>
        <x:v>323.2</x:v>
      </x:c>
      <x:c r="C26" s="1" t="str">
        <x:v>kg</x:v>
      </x:c>
      <x:c r="D26" s="2" t="str"/>
    </x:row>
    <x:row r="27" ht="25" customHeight="1">
      <x:c r="A27" s="1" t="str">
        <x:v>Fracción de maltosa</x:v>
      </x:c>
      <x:c r="B27" s="2" t="n">
        <x:f>B19/100</x:f>
        <x:v>0.83</x:v>
      </x:c>
      <x:c r="C27" s="1" t="str">
        <x:v>fracción</x:v>
      </x:c>
      <x:c r="D27" s="2" t="str"/>
    </x:row>
    <x:row r="28" ht="25" customHeight="1">
      <x:c r="A28" s="1" t="str">
        <x:v>Etanol / azúcar consumido</x:v>
      </x:c>
      <x:c r="B28" s="2" t="n">
        <x:f>B27*184/342+(1-B27)*92/180</x:f>
        <x:v>0.5334385964912282</x:v>
      </x:c>
      <x:c r="C28" s="1" t="str">
        <x:v>kg/kg</x:v>
      </x:c>
      <x:c r="D28" s="2" t="str"/>
    </x:row>
    <x:row r="29" ht="25" customHeight="1">
      <x:c r="A29" s="1" t="str">
        <x:v>CO₂ / azúcar consumido</x:v>
      </x:c>
      <x:c r="B29" s="2" t="n">
        <x:f>B27*176/342+(1-B27)*88/180</x:f>
        <x:v>0.5102456140350877</x:v>
      </x:c>
      <x:c r="C29" s="1" t="str">
        <x:v>kg/kg</x:v>
      </x:c>
      <x:c r="D29" s="2" t="str"/>
    </x:row>
    <x:row r="30" ht="25" customHeight="1">
      <x:c r="A30" s="1" t="str">
        <x:v>Agua de reacción / azúcar consumido</x:v>
      </x:c>
      <x:c r="B30" s="2" t="n">
        <x:f>B27*18/342</x:f>
        <x:v>0.04368421052631579</x:v>
      </x:c>
      <x:c r="C30" s="1" t="str">
        <x:v>kg/kg</x:v>
      </x:c>
      <x:c r="D30" s="2" t="str"/>
    </x:row>
    <x:row r="31" ht="25" customHeight="1">
      <x:c r="A31" s="1" t="str">
        <x:v>Cerveza antes de envasar</x:v>
      </x:c>
      <x:c r="B31" s="2" t="n">
        <x:f>B26+B17</x:f>
        <x:v>331.2</x:v>
      </x:c>
      <x:c r="C31" s="1" t="str">
        <x:v>kg</x:v>
      </x:c>
      <x:c r="D31" s="2" t="str"/>
    </x:row>
    <x:row r="32" ht="25" customHeight="1">
      <x:c r="A32" s="1" t="str">
        <x:v>Azúcar recuperado que entra al fermentador</x:v>
      </x:c>
      <x:c r="B32" s="2" t="n">
        <x:f>B11*B22/100</x:f>
        <x:v>31.9</x:v>
      </x:c>
      <x:c r="C32" s="1" t="str">
        <x:v>kg</x:v>
      </x:c>
      <x:c r="D32" s="2" t="str">
        <x:v>Recuperación efectiva después de filtrar y sedimentar.</x:v>
      </x:c>
    </x:row>
    <x:row r="33" ht="25" customHeight="1">
      <x:c r="A33" s="1" t="str">
        <x:v>Retención de líquido en envasado</x:v>
      </x:c>
      <x:c r="B33" s="2" t="n">
        <x:f>B26/B31</x:f>
        <x:v>0.9758454106280193</x:v>
      </x:c>
      <x:c r="C33" s="1" t="str">
        <x:v>fracción</x:v>
      </x:c>
      <x:c r="D33" s="2" t="str"/>
    </x:row>
    <x:row r="34" ht="25" customHeight="1">
      <x:c r="A34" s="1" t="str">
        <x:v>Conversión usada</x:v>
      </x:c>
      <x:c r="B34" s="2" t="n">
        <x:f>IF(B24&lt;2,(B20/100*B4*B18)/(B33*B32*B28),B21/100)</x:f>
        <x:v>0.07602227174566796</x:v>
      </x:c>
      <x:c r="C34" s="1" t="str">
        <x:v>fracción</x:v>
      </x:c>
      <x:c r="D34" s="2" t="str"/>
    </x:row>
    <x:row r="35" ht="25" customHeight="1">
      <x:c r="A35" s="1" t="str">
        <x:v>Azúcar consumido</x:v>
      </x:c>
      <x:c r="B35" s="2" t="n">
        <x:f>B32*B34</x:f>
        <x:v>2.4251104686868077</x:v>
      </x:c>
      <x:c r="C35" s="1" t="str">
        <x:v>kg</x:v>
      </x:c>
      <x:c r="D35" s="2" t="str"/>
    </x:row>
    <x:row r="36" ht="25" customHeight="1">
      <x:c r="A36" s="1" t="str">
        <x:v>Etanol formado</x:v>
      </x:c>
      <x:c r="B36" s="2" t="n">
        <x:f>B35*B28</x:f>
        <x:v>1.2936475247524752</x:v>
      </x:c>
      <x:c r="C36" s="1" t="str">
        <x:v>kg</x:v>
      </x:c>
      <x:c r="D36" s="2" t="str"/>
    </x:row>
    <x:row r="37" ht="25" customHeight="1">
      <x:c r="A37" s="1" t="str">
        <x:v>CO₂ formado y liberado</x:v>
      </x:c>
      <x:c r="B37" s="2" t="n">
        <x:f>B35*B29</x:f>
        <x:v>1.2374019801980196</x:v>
      </x:c>
      <x:c r="C37" s="1" t="str">
        <x:v>kg</x:v>
      </x:c>
      <x:c r="D37" s="2" t="str"/>
    </x:row>
    <x:row r="38" ht="25" customHeight="1">
      <x:c r="A38" s="1" t="str">
        <x:v>Agua consumida por reacción</x:v>
      </x:c>
      <x:c r="B38" s="2" t="n">
        <x:f>B35*B30</x:f>
        <x:v>0.10593903626368686</x:v>
      </x:c>
      <x:c r="C38" s="1" t="str">
        <x:v>kg</x:v>
      </x:c>
      <x:c r="D38" s="2" t="str"/>
    </x:row>
    <x:row r="39" ht="25" customHeight="1">
      <x:c r="A39" s="1" t="str">
        <x:v>Azúcar residual antes de envasar</x:v>
      </x:c>
      <x:c r="B39" s="2" t="n">
        <x:f>B32-B35</x:f>
        <x:v>29.474889531313192</x:v>
      </x:c>
      <x:c r="C39" s="1" t="str">
        <x:v>kg</x:v>
      </x:c>
      <x:c r="D39" s="2" t="str"/>
    </x:row>
    <x:row r="40" ht="25" customHeight="1">
      <x:c r="A40" s="1" t="str">
        <x:v>Etanol en cerveza terminada</x:v>
      </x:c>
      <x:c r="B40" s="2" t="n">
        <x:f>B36*B33</x:f>
        <x:v>1.2624</x:v>
      </x:c>
      <x:c r="C40" s="1" t="str">
        <x:v>kg</x:v>
      </x:c>
      <x:c r="D40" s="2" t="str"/>
    </x:row>
    <x:row r="41" ht="25" customHeight="1">
      <x:c r="A41" s="1" t="str">
        <x:v>Azúcar residual en cerveza terminada</x:v>
      </x:c>
      <x:c r="B41" s="2" t="n">
        <x:f>B39*B33</x:f>
        <x:v>28.76293567789983</x:v>
      </x:c>
      <x:c r="C41" s="1" t="str">
        <x:v>kg</x:v>
      </x:c>
      <x:c r="D41" s="2" t="str"/>
    </x:row>
    <x:row r="42" ht="25" customHeight="1">
      <x:c r="A42" s="1" t="str">
        <x:v>Alcohol estimado</x:v>
      </x:c>
      <x:c r="B42" s="2" t="n">
        <x:f>B40/B18/B4*100</x:f>
        <x:v>0.49999999999999994</x:v>
      </x:c>
      <x:c r="C42" s="1" t="str">
        <x:v>% v/v</x:v>
      </x:c>
      <x:c r="D42" s="2" t="str"/>
    </x:row>
    <x:row r="43" ht="25" customHeight="1">
      <x:c r="A43" s="1" t="str">
        <x:v>Mosto limpio antes de inocular</x:v>
      </x:c>
      <x:c r="B43" s="2" t="n">
        <x:f>B31+B37-B14</x:f>
        <x:v>332.187401980198</x:v>
      </x:c>
      <x:c r="C43" s="1" t="str">
        <x:v>kg</x:v>
      </x:c>
      <x:c r="D43" s="2" t="str"/>
    </x:row>
    <x:row r="44" ht="25" customHeight="1">
      <x:c r="A44" s="1" t="str">
        <x:v>Mosto antes de sedimentar</x:v>
      </x:c>
      <x:c r="B44" s="2" t="n">
        <x:f>B43+B16</x:f>
        <x:v>337.187401980198</x:v>
      </x:c>
      <x:c r="C44" s="1" t="str">
        <x:v>kg</x:v>
      </x:c>
      <x:c r="D44" s="2" t="str"/>
    </x:row>
    <x:row r="45" ht="25" customHeight="1">
      <x:c r="A45" s="1" t="str">
        <x:v>Mosto filtrado antes de cocción</x:v>
      </x:c>
      <x:c r="B45" s="2" t="n">
        <x:f>B44+B15-B13</x:f>
        <x:v>361.687401980198</x:v>
      </x:c>
      <x:c r="C45" s="1" t="str">
        <x:v>kg</x:v>
      </x:c>
      <x:c r="D45" s="2" t="str"/>
    </x:row>
    <x:row r="46" ht="25" customHeight="1">
      <x:c r="A46" s="1" t="str">
        <x:v>Volumen de filtrado</x:v>
      </x:c>
      <x:c r="B46" s="2" t="n">
        <x:f>B45/B6</x:f>
        <x:v>347.7763480578827</x:v>
      </x:c>
      <x:c r="C46" s="1" t="str">
        <x:v>L</x:v>
      </x:c>
      <x:c r="D46" s="2" t="str"/>
    </x:row>
    <x:row r="47" ht="25" customHeight="1">
      <x:c r="A47" s="1" t="str">
        <x:v>Volumen previo aproximado</x:v>
      </x:c>
      <x:c r="B47" s="2" t="n">
        <x:f>B46/(1-B8/100)</x:f>
        <x:v>463.7017974105102</x:v>
      </x:c>
      <x:c r="C47" s="1" t="str">
        <x:v>L</x:v>
      </x:c>
      <x:c r="D47" s="2" t="str"/>
    </x:row>
    <x:row r="48" ht="25" customHeight="1">
      <x:c r="A48" s="1" t="str">
        <x:v>Volumen de bagazo</x:v>
      </x:c>
      <x:c r="B48" s="2" t="n">
        <x:f>B47*B8/100</x:f>
        <x:v>115.92544935262755</x:v>
      </x:c>
      <x:c r="C48" s="1" t="str">
        <x:v>L</x:v>
      </x:c>
      <x:c r="D48" s="2" t="str"/>
    </x:row>
    <x:row r="49" ht="25" customHeight="1">
      <x:c r="A49" s="1" t="str">
        <x:v>Bagazo húmedo</x:v>
      </x:c>
      <x:c r="B49" s="2" t="n">
        <x:f>B48*B7</x:f>
        <x:v>75.35154207920792</x:v>
      </x:c>
      <x:c r="C49" s="1" t="str">
        <x:v>kg</x:v>
      </x:c>
      <x:c r="D49" s="2" t="str"/>
    </x:row>
    <x:row r="50" ht="25" customHeight="1">
      <x:c r="A50" s="1" t="str">
        <x:v>Agua total requerida</x:v>
      </x:c>
      <x:c r="B50" s="2" t="n">
        <x:f>B26+B49+B15+B16+B37+B17-B11-B12-B13-B14</x:f>
        <x:v>380.03894405940594</x:v>
      </x:c>
      <x:c r="C50" s="1" t="str">
        <x:v>kg</x:v>
      </x:c>
      <x:c r="D50" s="2" t="str"/>
    </x:row>
    <x:row r="51" ht="25" customHeight="1">
      <x:c r="A51" s="1" t="str">
        <x:v>Agua de lavado requerida</x:v>
      </x:c>
      <x:c r="B51" s="2" t="n">
        <x:f>B50-B9</x:f>
        <x:v>215.03894405940594</x:v>
      </x:c>
      <x:c r="C51" s="1" t="str">
        <x:v>kg</x:v>
      </x:c>
      <x:c r="D51" s="2" t="str"/>
    </x:row>
    <x:row r="52" ht="25" customHeight="1">
      <x:c r="A52" s="1" t="str">
        <x:v>Agua de lavado utilizada</x:v>
      </x:c>
      <x:c r="B52" s="2" t="n">
        <x:f>IF(B23&lt;2,B51,B10)</x:f>
        <x:v>215.03894405940594</x:v>
      </x:c>
      <x:c r="C52" s="1" t="str">
        <x:v>kg</x:v>
      </x:c>
      <x:c r="D52" s="2" t="str"/>
    </x:row>
    <x:row r="53" ht="25" customHeight="1">
      <x:c r="A53" s="1" t="str">
        <x:v>Agua total utilizada</x:v>
      </x:c>
      <x:c r="B53" s="2" t="n">
        <x:f>B9+B52</x:f>
        <x:v>380.03894405940594</x:v>
      </x:c>
      <x:c r="C53" s="1" t="str">
        <x:v>kg</x:v>
      </x:c>
      <x:c r="D53" s="2" t="str"/>
    </x:row>
    <x:row r="54" ht="25" customHeight="1">
      <x:c r="A54" s="1" t="str">
        <x:v>Maltosa al fermentador</x:v>
      </x:c>
      <x:c r="B54" s="2" t="n">
        <x:f>B32*B27</x:f>
        <x:v>26.476999999999997</x:v>
      </x:c>
      <x:c r="C54" s="1" t="str">
        <x:v>kg</x:v>
      </x:c>
      <x:c r="D54" s="2" t="str"/>
    </x:row>
    <x:row r="55" ht="25" customHeight="1">
      <x:c r="A55" s="1" t="str">
        <x:v>Glucosa al fermentador</x:v>
      </x:c>
      <x:c r="B55" s="2" t="n">
        <x:f>B32*(1-B27)</x:f>
        <x:v>5.423000000000001</x:v>
      </x:c>
      <x:c r="C55" s="1" t="str">
        <x:v>kg</x:v>
      </x:c>
      <x:c r="D55" s="2" t="str"/>
    </x:row>
    <x:row r="56" ht="25" customHeight="1">
      <x:c r="A56" s="1" t="str">
        <x:v>Maltosa consumida</x:v>
      </x:c>
      <x:c r="B56" s="2" t="n">
        <x:f>B54*B34</x:f>
        <x:v>2.0128416890100502</x:v>
      </x:c>
      <x:c r="C56" s="1" t="str">
        <x:v>kg</x:v>
      </x:c>
      <x:c r="D56" s="2" t="str"/>
    </x:row>
    <x:row r="57" ht="25" customHeight="1">
      <x:c r="A57" s="1" t="str">
        <x:v>Glucosa consumida</x:v>
      </x:c>
      <x:c r="B57" s="2" t="n">
        <x:f>B55*B34</x:f>
        <x:v>0.4122687796767574</x:v>
      </x:c>
      <x:c r="C57" s="1" t="str">
        <x:v>kg</x:v>
      </x:c>
      <x:c r="D57" s="2" t="str"/>
    </x:row>
    <x:row r="58" ht="25" customHeight="1">
      <x:c r="A58" s="1" t="str">
        <x:v>Etanol formado desde maltosa</x:v>
      </x:c>
      <x:c r="B58" s="2" t="n">
        <x:f>B56*184/342</x:f>
        <x:v>1.0829323706954657</x:v>
      </x:c>
      <x:c r="C58" s="1" t="str">
        <x:v>kg</x:v>
      </x:c>
      <x:c r="D58" s="2" t="str"/>
    </x:row>
    <x:row r="59" ht="25" customHeight="1">
      <x:c r="A59" s="1" t="str">
        <x:v>Etanol formado desde glucosa</x:v>
      </x:c>
      <x:c r="B59" s="2" t="n">
        <x:f>B57*92/180</x:f>
        <x:v>0.21071515405700936</x:v>
      </x:c>
      <x:c r="C59" s="1" t="str">
        <x:v>kg</x:v>
      </x:c>
      <x:c r="D59" s="2" t="str"/>
    </x:row>
    <x:row r="60" ht="25" customHeight="1">
      <x:c r="A60" s="1" t="str">
        <x:v>CO₂ formado desde maltosa</x:v>
      </x:c>
      <x:c r="B60" s="2" t="n">
        <x:f>B56*176/342</x:f>
        <x:v>1.0358483545782715</x:v>
      </x:c>
      <x:c r="C60" s="1" t="str">
        <x:v>kg</x:v>
      </x:c>
      <x:c r="D60" s="2" t="str"/>
    </x:row>
    <x:row r="61" ht="25" customHeight="1">
      <x:c r="A61" s="1" t="str">
        <x:v>CO₂ formado desde glucosa</x:v>
      </x:c>
      <x:c r="B61" s="2" t="n">
        <x:f>B57*88/180</x:f>
        <x:v>0.20155362561974807</x:v>
      </x:c>
      <x:c r="C61" s="1" t="str">
        <x:v>kg</x:v>
      </x:c>
      <x:c r="D61" s="2" t="str"/>
    </x:row>
    <x:row r="62" ht="25" customHeight="1">
      <x:c r="A62" s="1" t="str">
        <x:v>Cierre de masa de las reacciones</x:v>
      </x:c>
      <x:c r="B62" s="2" t="n">
        <x:f>B35+B38-B36-B37</x:f>
        <x:v>-2.220446049250313e-16</x:v>
      </x:c>
      <x:c r="C62" s="1" t="str">
        <x:v>kg</x:v>
      </x:c>
      <x:c r="D62" s="2" t="str">
        <x:v>Azúcar consumido + agua consumida − etanol − CO₂.</x:v>
      </x:c>
    </x:row>
    <x:row r="63" ht="25" customHeight="1">
      <x:c r="A63" s="1" t="str">
        <x:v>Total de entradas</x:v>
      </x:c>
      <x:c r="B63" s="2" t="n">
        <x:f>B9+B52+B11+B12+B13+B14</x:f>
        <x:v>437.78894405940594</x:v>
      </x:c>
      <x:c r="C63" s="1" t="str">
        <x:v>kg</x:v>
      </x:c>
      <x:c r="D63" s="2" t="str"/>
    </x:row>
    <x:row r="64" ht="25" customHeight="1">
      <x:c r="A64" s="1" t="str">
        <x:v>Total de salidas</x:v>
      </x:c>
      <x:c r="B64" s="2" t="n">
        <x:f>B26+B49+B15+B16+B37+B17</x:f>
        <x:v>437.78894405940594</x:v>
      </x:c>
      <x:c r="C64" s="1" t="str">
        <x:v>kg</x:v>
      </x:c>
      <x:c r="D64" s="2" t="str"/>
    </x:row>
    <x:row r="65" ht="25" customHeight="1">
      <x:c r="A65" s="1" t="str">
        <x:v>Entradas − salidas</x:v>
      </x:c>
      <x:c r="B65" s="2" t="n">
        <x:f>B63-B64</x:f>
        <x:v>0</x:v>
      </x:c>
      <x:c r="C65" s="1" t="str">
        <x:v>kg</x:v>
      </x:c>
      <x:c r="D65" s="2" t="str"/>
    </x:row>
    <x:row r="66" ht="25" customHeight="1">
      <x:c r="A66" s="1" t="str">
        <x:v>Diferencia / entradas</x:v>
      </x:c>
      <x:c r="B66" s="2" t="n">
        <x:f>B65/B63*100</x:f>
        <x:v>0</x:v>
      </x:c>
      <x:c r="C66" s="1" t="str">
        <x:v>%</x:v>
      </x:c>
      <x:c r="D66" s="2" t="str"/>
    </x:row>
    <x:row r="67" ht="25" customHeight="1">
      <x:c r="A67" s="6" t="str">
        <x:v>Etapa</x:v>
      </x:c>
      <x:c r="B67" s="8" t="str">
        <x:v>Entra (kg)</x:v>
      </x:c>
      <x:c r="C67" s="6" t="str">
        <x:v>Sale (kg)</x:v>
      </x:c>
      <x:c r="D67" s="8" t="str">
        <x:v>Diferencia (kg)</x:v>
      </x:c>
    </x:row>
    <x:row r="68" ht="25" customHeight="1">
      <x:c r="A68" s="1" t="str">
        <x:v>Molienda</x:v>
      </x:c>
      <x:c r="B68" s="2" t="n">
        <x:f>B11</x:f>
        <x:v>55</x:v>
      </x:c>
      <x:c r="C68" s="2" t="n">
        <x:f>B11</x:f>
        <x:v>55</x:v>
      </x:c>
      <x:c r="D68" s="2" t="n">
        <x:f>B68-C68</x:f>
        <x:v>0</x:v>
      </x:c>
    </x:row>
    <x:row r="69" ht="25" customHeight="1">
      <x:c r="A69" s="1" t="str">
        <x:v>Maceración</x:v>
      </x:c>
      <x:c r="B69" s="2" t="n">
        <x:f>B11+B9+B12</x:f>
        <x:v>222</x:v>
      </x:c>
      <x:c r="C69" s="2" t="n">
        <x:f>B11+B9+B12</x:f>
        <x:v>222</x:v>
      </x:c>
      <x:c r="D69" s="2" t="n">
        <x:f>B69-C69</x:f>
        <x:v>0</x:v>
      </x:c>
    </x:row>
    <x:row r="70" ht="25" customHeight="1">
      <x:c r="A70" s="1" t="str">
        <x:v>Filtración y lavado</x:v>
      </x:c>
      <x:c r="B70" s="2" t="n">
        <x:f>B11+B9+B12+B52</x:f>
        <x:v>437.03894405940594</x:v>
      </x:c>
      <x:c r="C70" s="2" t="n">
        <x:f>B45+B49</x:f>
        <x:v>437.03894405940594</x:v>
      </x:c>
      <x:c r="D70" s="2" t="n">
        <x:f>B70-C70</x:f>
        <x:v>0</x:v>
      </x:c>
    </x:row>
    <x:row r="71" ht="25" customHeight="1">
      <x:c r="A71" s="1" t="str">
        <x:v>Cocción</x:v>
      </x:c>
      <x:c r="B71" s="2" t="n">
        <x:f>B45+B13</x:f>
        <x:v>362.187401980198</x:v>
      </x:c>
      <x:c r="C71" s="2" t="n">
        <x:f>B44+B15</x:f>
        <x:v>362.187401980198</x:v>
      </x:c>
      <x:c r="D71" s="2" t="n">
        <x:f>B71-C71</x:f>
        <x:v>0</x:v>
      </x:c>
    </x:row>
    <x:row r="72" ht="25" customHeight="1">
      <x:c r="A72" s="1" t="str">
        <x:v>Sedimentación</x:v>
      </x:c>
      <x:c r="B72" s="2" t="n">
        <x:f>B44</x:f>
        <x:v>337.187401980198</x:v>
      </x:c>
      <x:c r="C72" s="2" t="n">
        <x:f>B43+B16</x:f>
        <x:v>337.187401980198</x:v>
      </x:c>
      <x:c r="D72" s="2" t="n">
        <x:f>B72-C72</x:f>
        <x:v>0</x:v>
      </x:c>
    </x:row>
    <x:row r="73" ht="25" customHeight="1">
      <x:c r="A73" s="1" t="str">
        <x:v>Enfriamiento</x:v>
      </x:c>
      <x:c r="B73" s="2" t="n">
        <x:f>B43</x:f>
        <x:v>332.187401980198</x:v>
      </x:c>
      <x:c r="C73" s="2" t="n">
        <x:f>B43</x:f>
        <x:v>332.187401980198</x:v>
      </x:c>
      <x:c r="D73" s="2" t="n">
        <x:f>B73-C73</x:f>
        <x:v>0</x:v>
      </x:c>
    </x:row>
    <x:row r="74" ht="25" customHeight="1">
      <x:c r="A74" s="1" t="str">
        <x:v>Fermentación</x:v>
      </x:c>
      <x:c r="B74" s="2" t="n">
        <x:f>B43+B14</x:f>
        <x:v>332.437401980198</x:v>
      </x:c>
      <x:c r="C74" s="2" t="n">
        <x:f>B31+B37</x:f>
        <x:v>332.437401980198</x:v>
      </x:c>
      <x:c r="D74" s="2" t="n">
        <x:f>B74-C74</x:f>
        <x:v>0</x:v>
      </x:c>
    </x:row>
    <x:row r="75" ht="25" customHeight="1">
      <x:c r="A75" s="1" t="str">
        <x:v>Maduración</x:v>
      </x:c>
      <x:c r="B75" s="2" t="n">
        <x:f>B31</x:f>
        <x:v>331.2</x:v>
      </x:c>
      <x:c r="C75" s="2" t="n">
        <x:f>B31</x:f>
        <x:v>331.2</x:v>
      </x:c>
      <x:c r="D75" s="2" t="n">
        <x:f>B75-C75</x:f>
        <x:v>0</x:v>
      </x:c>
    </x:row>
    <x:row r="76" ht="25" customHeight="1">
      <x:c r="A76" s="1" t="str">
        <x:v>Enfriamiento y envasado</x:v>
      </x:c>
      <x:c r="B76" s="2" t="n">
        <x:f>B31</x:f>
        <x:v>331.2</x:v>
      </x:c>
      <x:c r="C76" s="2" t="n">
        <x:f>B26+B17</x:f>
        <x:v>331.2</x:v>
      </x:c>
      <x:c r="D76" s="2" t="n">
        <x:f>B76-C76</x:f>
        <x:v>0</x:v>
      </x:c>
    </x:row>
    <x:row r="77" ht="25" customHeight="1">
      <x:c r="A77" s="6" t="str">
        <x:v>Entradas</x:v>
      </x:c>
      <x:c r="B77" s="8" t="str">
        <x:v>kg/lote</x:v>
      </x:c>
      <x:c r="C77" s="6" t="str">
        <x:v>Salidas</x:v>
      </x:c>
      <x:c r="D77" s="8" t="str">
        <x:v>kg/lote</x:v>
      </x:c>
    </x:row>
    <x:row r="78" ht="25" customHeight="1">
      <x:c r="A78" s="1" t="str">
        <x:v>Agua de maceración</x:v>
      </x:c>
      <x:c r="B78" s="2" t="n">
        <x:f>B9</x:f>
        <x:v>165</x:v>
      </x:c>
      <x:c r="C78" s="1" t="str">
        <x:v>Cerveza final</x:v>
      </x:c>
      <x:c r="D78" s="2" t="n">
        <x:f>B26</x:f>
        <x:v>323.2</x:v>
      </x:c>
    </x:row>
    <x:row r="79" ht="25" customHeight="1">
      <x:c r="A79" s="1" t="str">
        <x:v>Agua de lavado</x:v>
      </x:c>
      <x:c r="B79" s="2" t="n">
        <x:f>B52</x:f>
        <x:v>215.03894405940594</x:v>
      </x:c>
      <x:c r="C79" s="1" t="str">
        <x:v>Bagazo húmedo</x:v>
      </x:c>
      <x:c r="D79" s="2" t="n">
        <x:f>B49</x:f>
        <x:v>75.35154207920792</x:v>
      </x:c>
    </x:row>
    <x:row r="80" ht="25" customHeight="1">
      <x:c r="A80" s="1" t="str">
        <x:v>Malta de semillas</x:v>
      </x:c>
      <x:c r="B80" s="2" t="n">
        <x:f>B11</x:f>
        <x:v>55</x:v>
      </x:c>
      <x:c r="C80" s="1" t="str">
        <x:v>Vapor</x:v>
      </x:c>
      <x:c r="D80" s="2" t="n">
        <x:f>B15</x:f>
        <x:v>25</x:v>
      </x:c>
    </x:row>
    <x:row r="81" ht="25" customHeight="1">
      <x:c r="A81" s="1" t="str">
        <x:v>Aditivos maceración / filtración</x:v>
      </x:c>
      <x:c r="B81" s="2" t="n">
        <x:f>B12</x:f>
        <x:v>2</x:v>
      </x:c>
      <x:c r="C81" s="1" t="str">
        <x:v>Sedimentos y purgas</x:v>
      </x:c>
      <x:c r="D81" s="2" t="n">
        <x:f>B16</x:f>
        <x:v>5</x:v>
      </x:c>
    </x:row>
    <x:row r="82" ht="25" customHeight="1">
      <x:c r="A82" s="1" t="str">
        <x:v>Aditivos cocción</x:v>
      </x:c>
      <x:c r="B82" s="2" t="n">
        <x:f>B13</x:f>
        <x:v>0.5</x:v>
      </x:c>
      <x:c r="C82" s="1" t="str">
        <x:v>CO₂</x:v>
      </x:c>
      <x:c r="D82" s="2" t="n">
        <x:f>B37</x:f>
        <x:v>1.2374019801980196</x:v>
      </x:c>
    </x:row>
    <x:row r="83" ht="25" customHeight="1">
      <x:c r="A83" s="1" t="str">
        <x:v>Levadura añadida</x:v>
      </x:c>
      <x:c r="B83" s="2" t="n">
        <x:f>B14</x:f>
        <x:v>0.25</x:v>
      </x:c>
      <x:c r="C83" s="1" t="str">
        <x:v>Pérdidas líquidas</x:v>
      </x:c>
      <x:c r="D83" s="2" t="n">
        <x:f>B17</x:f>
        <x:v>8</x:v>
      </x:c>
    </x:row>
  </x:sheetData>
  <x:conditionalFormatting sqref="D68:D68">
    <x:cfRule type="cellIs" dxfId="15" priority="1" operator="notBetween">
      <x:formula>-0.00001</x:formula>
      <x:formula>0.00001</x:formula>
    </x:cfRule>
  </x:conditionalFormatting>
  <x:conditionalFormatting sqref="D69:D69">
    <x:cfRule type="cellIs" dxfId="16" priority="2" operator="notBetween">
      <x:formula>-0.00001</x:formula>
      <x:formula>0.00001</x:formula>
    </x:cfRule>
  </x:conditionalFormatting>
  <x:conditionalFormatting sqref="D70:D70">
    <x:cfRule type="cellIs" dxfId="17" priority="3" operator="notBetween">
      <x:formula>-0.00001</x:formula>
      <x:formula>0.00001</x:formula>
    </x:cfRule>
  </x:conditionalFormatting>
  <x:conditionalFormatting sqref="D71:D71">
    <x:cfRule type="cellIs" dxfId="18" priority="4" operator="notBetween">
      <x:formula>-0.00001</x:formula>
      <x:formula>0.00001</x:formula>
    </x:cfRule>
  </x:conditionalFormatting>
  <x:conditionalFormatting sqref="D72:D72">
    <x:cfRule type="cellIs" dxfId="19" priority="5" operator="notBetween">
      <x:formula>-0.00001</x:formula>
      <x:formula>0.00001</x:formula>
    </x:cfRule>
  </x:conditionalFormatting>
  <x:conditionalFormatting sqref="D73:D73">
    <x:cfRule type="cellIs" dxfId="20" priority="6" operator="notBetween">
      <x:formula>-0.00001</x:formula>
      <x:formula>0.00001</x:formula>
    </x:cfRule>
  </x:conditionalFormatting>
  <x:conditionalFormatting sqref="D74:D74">
    <x:cfRule type="cellIs" dxfId="21" priority="7" operator="notBetween">
      <x:formula>-0.00001</x:formula>
      <x:formula>0.00001</x:formula>
    </x:cfRule>
  </x:conditionalFormatting>
  <x:conditionalFormatting sqref="D75:D75">
    <x:cfRule type="cellIs" dxfId="22" priority="8" operator="notBetween">
      <x:formula>-0.00001</x:formula>
      <x:formula>0.00001</x:formula>
    </x:cfRule>
  </x:conditionalFormatting>
  <x:conditionalFormatting sqref="D76:D76">
    <x:cfRule type="cellIs" dxfId="23" priority="9" operator="notBetween">
      <x:formula>-0.00001</x:formula>
      <x:formula>0.00001</x:formula>
    </x:cfRule>
  </x:conditionalFormatting>
  <x:conditionalFormatting sqref="B65:B65">
    <x:cfRule type="cellIs" dxfId="24" priority="10" operator="notBetween">
      <x:formula>-0.00001</x:formula>
      <x:formula>0.00001</x:formula>
    </x:cfRule>
  </x:conditionalFormatting>
  <x:conditionalFormatting sqref="B52:B52">
    <x:cfRule type="cellIs" dxfId="25" priority="11" operator="lessThan">
      <x:formula>0</x:formula>
    </x:cfRule>
  </x:conditionalFormatting>
  <x:conditionalFormatting sqref="B43:B43">
    <x:cfRule type="cellIs" dxfId="26" priority="12" operator="lessThan">
      <x:formula>0</x:formula>
    </x:cfRule>
  </x:conditionalFormatting>
  <x:conditionalFormatting sqref="B45:B45">
    <x:cfRule type="cellIs" dxfId="27" priority="13" operator="lessThan">
      <x:formula>0</x:formula>
    </x:cfRule>
  </x:conditionalFormatting>
  <x:conditionalFormatting sqref="B53:B53">
    <x:cfRule type="cellIs" dxfId="28" priority="14" operator="lessThan">
      <x:formula>0</x:formula>
    </x:cfRule>
  </x:conditionalFormatting>
  <x:conditionalFormatting sqref="B39:B39">
    <x:cfRule type="cellIs" dxfId="29" priority="15" operator="lessThan">
      <x:formula>0</x:formula>
    </x:cfRule>
  </x:conditionalFormatting>
  <x:conditionalFormatting sqref="B49:B49">
    <x:cfRule type="cellIs" dxfId="30" priority="16" operator="lessThan">
      <x:formula>0</x:formula>
    </x:cfRule>
  </x:conditionalFormatting>
  <x:conditionalFormatting sqref="B34:B34">
    <x:cfRule type="cellIs" dxfId="31" priority="17" operator="notBetween">
      <x:formula>0</x:formula>
      <x:formula>1</x:formula>
    </x:cfRule>
  </x:conditionalFormatting>
  <x:dataValidations count="21">
    <x:dataValidation type="list" sqref="B23">
      <x:formula1>"1,2"</x:formula1>
    </x:dataValidation>
    <x:dataValidation type="list" sqref="B24">
      <x:formula1>"1,2"</x:formula1>
    </x:dataValidation>
    <x:dataValidation type="decimal" operator="greaterThanOrEqual" sqref="B4">
      <x:formula1>0</x:formula1>
    </x:dataValidation>
    <x:dataValidation type="decimal" operator="greaterThanOrEqual" sqref="B5">
      <x:formula1>0</x:formula1>
    </x:dataValidation>
    <x:dataValidation type="decimal" operator="greaterThanOrEqual" sqref="B6">
      <x:formula1>0</x:formula1>
    </x:dataValidation>
    <x:dataValidation type="decimal" operator="greaterThanOrEqual" sqref="B7">
      <x:formula1>0</x:formula1>
    </x:dataValidation>
    <x:dataValidation type="decimal" operator="between" sqref="B8">
      <x:formula1>0</x:formula1>
      <x:formula2>100</x:formula2>
    </x:dataValidation>
    <x:dataValidation type="decimal" operator="greaterThanOrEqual" sqref="B9">
      <x:formula1>0</x:formula1>
    </x:dataValidation>
    <x:dataValidation type="decimal" operator="greaterThanOrEqual" sqref="B10">
      <x:formula1>0</x:formula1>
    </x:dataValidation>
    <x:dataValidation type="decimal" operator="greaterThanOrEqual" sqref="B11">
      <x:formula1>0</x:formula1>
    </x:dataValidation>
    <x:dataValidation type="decimal" operator="greaterThanOrEqual" sqref="B12">
      <x:formula1>0</x:formula1>
    </x:dataValidation>
    <x:dataValidation type="decimal" operator="greaterThanOrEqual" sqref="B13">
      <x:formula1>0</x:formula1>
    </x:dataValidation>
    <x:dataValidation type="decimal" operator="greaterThanOrEqual" sqref="B14">
      <x:formula1>0</x:formula1>
    </x:dataValidation>
    <x:dataValidation type="decimal" operator="greaterThanOrEqual" sqref="B15">
      <x:formula1>0</x:formula1>
    </x:dataValidation>
    <x:dataValidation type="decimal" operator="greaterThanOrEqual" sqref="B16">
      <x:formula1>0</x:formula1>
    </x:dataValidation>
    <x:dataValidation type="decimal" operator="greaterThanOrEqual" sqref="B17">
      <x:formula1>0</x:formula1>
    </x:dataValidation>
    <x:dataValidation type="decimal" operator="greaterThanOrEqual" sqref="B18">
      <x:formula1>0</x:formula1>
    </x:dataValidation>
    <x:dataValidation type="decimal" operator="between" sqref="B19">
      <x:formula1>0</x:formula1>
      <x:formula2>100</x:formula2>
    </x:dataValidation>
    <x:dataValidation type="decimal" operator="between" sqref="B20">
      <x:formula1>0</x:formula1>
      <x:formula2>100</x:formula2>
    </x:dataValidation>
    <x:dataValidation type="decimal" operator="between" sqref="B21">
      <x:formula1>0</x:formula1>
      <x:formula2>100</x:formula2>
    </x:dataValidation>
    <x:dataValidation type="decimal" operator="between" sqref="B22">
      <x:formula1>0</x:formula1>
      <x:formula2>100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CD9B62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62" hidden="0" customWidth="1"/>
    <x:col min="2" max="2" width="24" hidden="0" customWidth="1"/>
    <x:col min="3" max="3" width="31" hidden="0" customWidth="1"/>
    <x:col min="4" max="4" width="78" hidden="0" customWidth="1"/>
  </x:cols>
  <x:sheetData>
    <x:row r="1" ht="25" customHeight="1">
      <x:c r="A1" s="3" t="str">
        <x:v>BCE · Completo · diseño por composición</x:v>
      </x:c>
      <x:c r="B1" s="1" t="str"/>
      <x:c r="C1" s="1" t="str"/>
      <x:c r="D1" s="1" t="str"/>
    </x:row>
    <x:row r="2" ht="25" customHeight="1">
      <x:c r="A2" s="1" t="str">
        <x:v>Un lote; supuestos didácticos editables. No son mediciones verificadas.</x:v>
      </x:c>
      <x:c r="B2" s="1" t="str"/>
      <x:c r="C2" s="1" t="str"/>
      <x:c r="D2" s="1" t="str"/>
    </x:row>
    <x:row r="3" ht="25" customHeight="1">
      <x:c r="A3" s="6" t="str">
        <x:v>Dato / resultado</x:v>
      </x:c>
      <x:c r="B3" s="6" t="str">
        <x:v>Valor</x:v>
      </x:c>
      <x:c r="C3" s="6" t="str">
        <x:v>Unidad</x:v>
      </x:c>
      <x:c r="D3" s="6" t="str">
        <x:v>Criterio y base</x:v>
      </x:c>
    </x:row>
    <x:row r="4" ht="25" customHeight="1">
      <x:c r="A4" s="1" t="str">
        <x:v>Cerveza terminada</x:v>
      </x:c>
      <x:c r="B4" s="4" t="n">
        <x:v>320</x:v>
      </x:c>
      <x:c r="C4" s="1" t="str">
        <x:v>L</x:v>
      </x:c>
      <x:c r="D4" s="2" t="str">
        <x:v>Volumen final del lote, no capacidad del tanque.</x:v>
      </x:c>
    </x:row>
    <x:row r="5" ht="25" customHeight="1">
      <x:c r="A5" s="1" t="str">
        <x:v>Densidad de cerveza</x:v>
      </x:c>
      <x:c r="B5" s="4" t="n">
        <x:v>1.01</x:v>
      </x:c>
      <x:c r="C5" s="1" t="str">
        <x:v>kg/L</x:v>
      </x:c>
      <x:c r="D5" s="2" t="str">
        <x:v>Dato supuesto del caso; usar una temperatura de referencia.</x:v>
      </x:c>
    </x:row>
    <x:row r="6" ht="25" customHeight="1">
      <x:c r="A6" s="1" t="str">
        <x:v>Densidad del mosto</x:v>
      </x:c>
      <x:c r="B6" s="4" t="n">
        <x:v>1.04</x:v>
      </x:c>
      <x:c r="C6" s="1" t="str">
        <x:v>kg/L</x:v>
      </x:c>
      <x:c r="D6" s="2" t="str">
        <x:v>Dato supuesto; para convertir masa de mosto en volumen.</x:v>
      </x:c>
    </x:row>
    <x:row r="7" ht="25" customHeight="1">
      <x:c r="A7" s="1" t="str">
        <x:v>Azúcar en mosto frío antes de sedimentar</x:v>
      </x:c>
      <x:c r="B7" s="4" t="n">
        <x:v>10</x:v>
      </x:c>
      <x:c r="C7" s="1" t="str">
        <x:v>% m/m</x:v>
      </x:c>
      <x:c r="D7" s="2" t="str">
        <x:v>Base M: masa total del mosto frío antes del trub.</x:v>
      </x:c>
    </x:row>
    <x:row r="8" ht="25" customHeight="1">
      <x:c r="A8" s="1" t="str">
        <x:v>Recuperación efectiva de azúcar / materia prima</x:v>
      </x:c>
      <x:c r="B8" s="4" t="n">
        <x:v>58</x:v>
      </x:c>
      <x:c r="C8" s="1" t="str">
        <x:v>%</x:v>
      </x:c>
      <x:c r="D8" s="2" t="str">
        <x:v>Kg de azúcar recuperado por 100 kg de materia prima; supuesto simplificado.</x:v>
      </x:c>
    </x:row>
    <x:row r="9" ht="25" customHeight="1">
      <x:c r="A9" s="1" t="str">
        <x:v>Agua de maceración / materia prima</x:v>
      </x:c>
      <x:c r="B9" s="4" t="n">
        <x:v>3</x:v>
      </x:c>
      <x:c r="C9" s="1" t="str">
        <x:v>kg/kg</x:v>
      </x:c>
      <x:c r="D9" s="2" t="str">
        <x:v>Relación de carga de agua.</x:v>
      </x:c>
    </x:row>
    <x:row r="10" ht="25" customHeight="1">
      <x:c r="A10" s="1" t="str">
        <x:v>Agua evaporada en hervor</x:v>
      </x:c>
      <x:c r="B10" s="4" t="n">
        <x:v>10</x:v>
      </x:c>
      <x:c r="C10" s="1" t="str">
        <x:v>%</x:v>
      </x:c>
      <x:c r="D10" s="2" t="str">
        <x:v>Fracción del agua antes del hervor, no del volumen final.</x:v>
      </x:c>
    </x:row>
    <x:row r="11" ht="25" customHeight="1">
      <x:c r="A11" s="1" t="str">
        <x:v>Cáscara de arroz / materia prima</x:v>
      </x:c>
      <x:c r="B11" s="4" t="n">
        <x:v>5</x:v>
      </x:c>
      <x:c r="C11" s="1" t="str">
        <x:v>%</x:v>
      </x:c>
      <x:c r="D11" s="2" t="str">
        <x:v>Se asigna al sólido equivalente del bagazo.</x:v>
      </x:c>
    </x:row>
    <x:row r="12" ht="25" customHeight="1">
      <x:c r="A12" s="1" t="str">
        <x:v>Enzimas</x:v>
      </x:c>
      <x:c r="B12" s="4" t="n">
        <x:v>1</x:v>
      </x:c>
      <x:c r="C12" s="1" t="str">
        <x:v>g/kg de malta</x:v>
      </x:c>
      <x:c r="D12" s="2" t="str">
        <x:v>Aporte de masa que permanece en el mosto del modelo.</x:v>
      </x:c>
    </x:row>
    <x:row r="13" ht="25" customHeight="1">
      <x:c r="A13" s="1" t="str">
        <x:v>Lúpulo</x:v>
      </x:c>
      <x:c r="B13" s="4" t="n">
        <x:v>2</x:v>
      </x:c>
      <x:c r="C13" s="1" t="str">
        <x:v>g/kg de M</x:v>
      </x:c>
      <x:c r="D13" s="2" t="str">
        <x:v>M es mosto frío antes de sedimentar.</x:v>
      </x:c>
    </x:row>
    <x:row r="14" ht="25" customHeight="1">
      <x:c r="A14" s="1" t="str">
        <x:v>Clarificante</x:v>
      </x:c>
      <x:c r="B14" s="4" t="n">
        <x:v>0.1</x:v>
      </x:c>
      <x:c r="C14" s="1" t="str">
        <x:v>g/kg de M</x:v>
      </x:c>
      <x:c r="D14" s="2" t="str">
        <x:v>Dosis del caso, editable.</x:v>
      </x:c>
    </x:row>
    <x:row r="15" ht="25" customHeight="1">
      <x:c r="A15" s="1" t="str">
        <x:v>Inóculo: levadura y agua</x:v>
      </x:c>
      <x:c r="B15" s="4" t="n">
        <x:v>12.6</x:v>
      </x:c>
      <x:c r="C15" s="1" t="str">
        <x:v>g/kg de M</x:v>
      </x:c>
      <x:c r="D15" s="2" t="str">
        <x:v>Su agua ya forma parte de esta entrada.</x:v>
      </x:c>
    </x:row>
    <x:row r="16" ht="25" customHeight="1">
      <x:c r="A16" s="1" t="str">
        <x:v>Levadura separada</x:v>
      </x:c>
      <x:c r="B16" s="4" t="n">
        <x:v>0.6</x:v>
      </x:c>
      <x:c r="C16" s="1" t="str">
        <x:v>g/kg de M</x:v>
      </x:c>
      <x:c r="D16" s="2" t="str">
        <x:v>No se modela crecimiento de biomasa.</x:v>
      </x:c>
    </x:row>
    <x:row r="17" ht="25" customHeight="1">
      <x:c r="A17" s="1" t="str">
        <x:v>Agua retenida / bagazo seco equivalente</x:v>
      </x:c>
      <x:c r="B17" s="4" t="n">
        <x:v>1</x:v>
      </x:c>
      <x:c r="C17" s="1" t="str">
        <x:v>kg/kg</x:v>
      </x:c>
      <x:c r="D17" s="2" t="str">
        <x:v>1 es un supuesto húmedo de partida; 0 reproduce el caso seco idealizado anterior.</x:v>
      </x:c>
    </x:row>
    <x:row r="18" ht="25" customHeight="1">
      <x:c r="A18" s="1" t="str">
        <x:v>Trub / mosto frío M</x:v>
      </x:c>
      <x:c r="B18" s="4" t="n">
        <x:v>1.5</x:v>
      </x:c>
      <x:c r="C18" s="1" t="str">
        <x:v>%</x:v>
      </x:c>
      <x:c r="D18" s="2" t="str">
        <x:v>Separación homogénea: arrastra también azúcar.</x:v>
      </x:c>
    </x:row>
    <x:row r="19" ht="25" customHeight="1">
      <x:c r="A19" s="1" t="str">
        <x:v>Merma de maduración</x:v>
      </x:c>
      <x:c r="B19" s="4" t="n">
        <x:v>0</x:v>
      </x:c>
      <x:c r="C19" s="1" t="str">
        <x:v>%</x:v>
      </x:c>
      <x:c r="D19" s="2" t="str">
        <x:v>Sobre cerveza joven.</x:v>
      </x:c>
    </x:row>
    <x:row r="20" ht="25" customHeight="1">
      <x:c r="A20" s="1" t="str">
        <x:v>Merma de envasado</x:v>
      </x:c>
      <x:c r="B20" s="4" t="n">
        <x:v>0</x:v>
      </x:c>
      <x:c r="C20" s="1" t="str">
        <x:v>%</x:v>
      </x:c>
      <x:c r="D20" s="2" t="str">
        <x:v>Sobre cerveza madurada.</x:v>
      </x:c>
    </x:row>
    <x:row r="21" ht="25" customHeight="1">
      <x:c r="A21" s="1" t="str">
        <x:v>Merma de pasteurización</x:v>
      </x:c>
      <x:c r="B21" s="4" t="n">
        <x:v>0</x:v>
      </x:c>
      <x:c r="C21" s="1" t="str">
        <x:v>%</x:v>
      </x:c>
      <x:c r="D21" s="2" t="str">
        <x:v>Sobre líquido envasado. No define un programa térmico.</x:v>
      </x:c>
    </x:row>
    <x:row r="22" ht="25" customHeight="1">
      <x:c r="A22" s="1" t="str">
        <x:v>Densidad de etanol de referencia</x:v>
      </x:c>
      <x:c r="B22" s="4" t="n">
        <x:v>0.789</x:v>
      </x:c>
      <x:c r="C22" s="1" t="str">
        <x:v>kg/L</x:v>
      </x:c>
      <x:c r="D22" s="2" t="str">
        <x:v>Aproximación a 20 °C; editable.</x:v>
      </x:c>
    </x:row>
    <x:row r="23" ht="25" customHeight="1">
      <x:c r="A23" s="1" t="str">
        <x:v>Maltosa dentro del azúcar</x:v>
      </x:c>
      <x:c r="B23" s="4" t="n">
        <x:v>83</x:v>
      </x:c>
      <x:c r="C23" s="1" t="str">
        <x:v>%</x:v>
      </x:c>
      <x:c r="D23" s="2" t="str">
        <x:v>El resto se representa como glucosa; supuesto de la fuente.</x:v>
      </x:c>
    </x:row>
    <x:row r="24" ht="25" customHeight="1">
      <x:c r="A24" s="1" t="str">
        <x:v>Objetivo de alcohol</x:v>
      </x:c>
      <x:c r="B24" s="4" t="n">
        <x:v>0.5</x:v>
      </x:c>
      <x:c r="C24" s="1" t="str">
        <x:v>% v/v</x:v>
      </x:c>
      <x:c r="D24" s="2" t="str">
        <x:v>0,5 L de etanol equivalente por cada 100 L finales.</x:v>
      </x:c>
    </x:row>
    <x:row r="25" ht="25" customHeight="1">
      <x:c r="A25" s="1" t="str">
        <x:v>Conversión manual del azúcar</x:v>
      </x:c>
      <x:c r="B25" s="4" t="n">
        <x:v>75</x:v>
      </x:c>
      <x:c r="C25" s="1" t="str">
        <x:v>%</x:v>
      </x:c>
      <x:c r="D25" s="2" t="str">
        <x:v>Dato de ensayo o supuesto para explorar; no es rendimiento de cerveza.</x:v>
      </x:c>
    </x:row>
    <x:row r="26" ht="25" customHeight="1">
      <x:c r="A26" s="1" t="str">
        <x:v>Calor específico supuesto del mosto</x:v>
      </x:c>
      <x:c r="B26" s="4" t="n">
        <x:v>4</x:v>
      </x:c>
      <x:c r="C26" s="1" t="str">
        <x:v>kJ/(kg·K)</x:v>
      </x:c>
      <x:c r="D26" s="2" t="str">
        <x:v>Aproximación constante para los ejercicios térmicos.</x:v>
      </x:c>
    </x:row>
    <x:row r="27" ht="25" customHeight="1">
      <x:c r="A27" s="1" t="str">
        <x:v>Temperatura inicial para calentar</x:v>
      </x:c>
      <x:c r="B27" s="4" t="n">
        <x:v>20</x:v>
      </x:c>
      <x:c r="C27" s="1" t="str">
        <x:v>°C</x:v>
      </x:c>
      <x:c r="D27" s="2" t="str">
        <x:v>Balance térmico aproximado separado de la masa.</x:v>
      </x:c>
    </x:row>
    <x:row r="28" ht="25" customHeight="1">
      <x:c r="A28" s="1" t="str">
        <x:v>Temperatura de hervor</x:v>
      </x:c>
      <x:c r="B28" s="4" t="n">
        <x:v>100</x:v>
      </x:c>
      <x:c r="C28" s="1" t="str">
        <x:v>°C</x:v>
      </x:c>
      <x:c r="D28" s="2" t="str">
        <x:v>Supuesto de operación; depende de la presión.</x:v>
      </x:c>
    </x:row>
    <x:row r="29" ht="25" customHeight="1">
      <x:c r="A29" s="1" t="str">
        <x:v>Temperatura de entrada al fermentador</x:v>
      </x:c>
      <x:c r="B29" s="4" t="n">
        <x:v>20</x:v>
      </x:c>
      <x:c r="C29" s="1" t="str">
        <x:v>°C</x:v>
      </x:c>
      <x:c r="D29" s="2" t="str">
        <x:v>Temperatura después del enfriamiento.</x:v>
      </x:c>
    </x:row>
    <x:row r="30" ht="25" customHeight="1">
      <x:c r="A30" s="1" t="str">
        <x:v>Tiempo de enfriamiento / trasiego</x:v>
      </x:c>
      <x:c r="B30" s="4" t="n">
        <x:v>30</x:v>
      </x:c>
      <x:c r="C30" s="1" t="str">
        <x:v>min</x:v>
      </x:c>
      <x:c r="D30" s="2" t="str">
        <x:v>Convierte energía a potencia y masa a caudal.</x:v>
      </x:c>
    </x:row>
    <x:row r="31" ht="25" customHeight="1">
      <x:c r="A31" s="1" t="str">
        <x:v>Calor latente supuesto del agua</x:v>
      </x:c>
      <x:c r="B31" s="4" t="n">
        <x:v>2257</x:v>
      </x:c>
      <x:c r="C31" s="1" t="str">
        <x:v>kJ/kg</x:v>
      </x:c>
      <x:c r="D31" s="2" t="str">
        <x:v>Aproximación a 100 °C.</x:v>
      </x:c>
    </x:row>
    <x:row r="32" ht="25" customHeight="1">
      <x:c r="A32" s="1" t="str">
        <x:v>Aumento de presión de bomba</x:v>
      </x:c>
      <x:c r="B32" s="4" t="n">
        <x:v>30000</x:v>
      </x:c>
      <x:c r="C32" s="1" t="str">
        <x:v>Pa</x:v>
      </x:c>
      <x:c r="D32" s="2" t="str">
        <x:v>Debe contrastarse con elevación y pérdidas de carga.</x:v>
      </x:c>
    </x:row>
    <x:row r="33" ht="25" customHeight="1">
      <x:c r="A33" s="1" t="str">
        <x:v>Eficiencia de bomba</x:v>
      </x:c>
      <x:c r="B33" s="4" t="n">
        <x:v>72</x:v>
      </x:c>
      <x:c r="C33" s="1" t="str">
        <x:v>%</x:v>
      </x:c>
      <x:c r="D33" s="2" t="str">
        <x:v>Supuesto de la guía.</x:v>
      </x:c>
    </x:row>
    <x:row r="34" ht="25" customHeight="1">
      <x:c r="A34" s="1" t="str">
        <x:v>Presión absoluta de succión</x:v>
      </x:c>
      <x:c r="B34" s="4" t="n">
        <x:v>101325</x:v>
      </x:c>
      <x:c r="C34" s="1" t="str">
        <x:v>Pa</x:v>
      </x:c>
      <x:c r="D34" s="2" t="str">
        <x:v>En la sección de referencia de la bomba.</x:v>
      </x:c>
    </x:row>
    <x:row r="35" ht="25" customHeight="1">
      <x:c r="A35" s="1" t="str">
        <x:v>Presión de vapor del líquido</x:v>
      </x:c>
      <x:c r="B35" s="4" t="n">
        <x:v>2339</x:v>
      </x:c>
      <x:c r="C35" s="1" t="str">
        <x:v>Pa</x:v>
      </x:c>
      <x:c r="D35" s="2" t="str">
        <x:v>Ejemplo de agua a 20 °C; revisar con composición y temperatura.</x:v>
      </x:c>
    </x:row>
    <x:row r="36" ht="25" customHeight="1">
      <x:c r="A36" s="1" t="str">
        <x:v>Fermentación: 1 = objetivo; 2 = manual</x:v>
      </x:c>
      <x:c r="B36" s="4" t="n">
        <x:v>1</x:v>
      </x:c>
      <x:c r="C36" s="1" t="str"/>
      <x:c r="D36" s="2" t="str">
        <x:v>Conversión se calcula o se ingresa.</x:v>
      </x:c>
    </x:row>
    <x:row r="37" ht="25" customHeight="1">
      <x:c r="A37" s="6" t="str">
        <x:v>Cálculo del caso</x:v>
      </x:c>
      <x:c r="B37" s="8" t="str"/>
      <x:c r="C37" s="6" t="str"/>
      <x:c r="D37" s="8" t="str"/>
    </x:row>
    <x:row r="38" ht="25" customHeight="1">
      <x:c r="A38" s="1" t="str">
        <x:v>Cerveza terminada</x:v>
      </x:c>
      <x:c r="B38" s="2" t="n">
        <x:f>B4*B5</x:f>
        <x:v>323.2</x:v>
      </x:c>
      <x:c r="C38" s="1" t="str">
        <x:v>kg</x:v>
      </x:c>
      <x:c r="D38" s="2" t="str"/>
    </x:row>
    <x:row r="39" ht="25" customHeight="1">
      <x:c r="A39" s="1" t="str">
        <x:v>Fracción de maltosa</x:v>
      </x:c>
      <x:c r="B39" s="2" t="n">
        <x:f>B23/100</x:f>
        <x:v>0.83</x:v>
      </x:c>
      <x:c r="C39" s="1" t="str">
        <x:v>fracción</x:v>
      </x:c>
      <x:c r="D39" s="2" t="str"/>
    </x:row>
    <x:row r="40" ht="25" customHeight="1">
      <x:c r="A40" s="1" t="str">
        <x:v>Etanol / azúcar consumido</x:v>
      </x:c>
      <x:c r="B40" s="2" t="n">
        <x:f>B39*184/342+(1-B39)*92/180</x:f>
        <x:v>0.5334385964912282</x:v>
      </x:c>
      <x:c r="C40" s="1" t="str">
        <x:v>kg/kg</x:v>
      </x:c>
      <x:c r="D40" s="2" t="str"/>
    </x:row>
    <x:row r="41" ht="25" customHeight="1">
      <x:c r="A41" s="1" t="str">
        <x:v>CO₂ / azúcar consumido</x:v>
      </x:c>
      <x:c r="B41" s="2" t="n">
        <x:f>B39*176/342+(1-B39)*88/180</x:f>
        <x:v>0.5102456140350877</x:v>
      </x:c>
      <x:c r="C41" s="1" t="str">
        <x:v>kg/kg</x:v>
      </x:c>
      <x:c r="D41" s="2" t="str"/>
    </x:row>
    <x:row r="42" ht="25" customHeight="1">
      <x:c r="A42" s="1" t="str">
        <x:v>Agua de reacción / azúcar consumido</x:v>
      </x:c>
      <x:c r="B42" s="2" t="n">
        <x:f>B39*18/342</x:f>
        <x:v>0.04368421052631579</x:v>
      </x:c>
      <x:c r="C42" s="1" t="str">
        <x:v>kg/kg</x:v>
      </x:c>
      <x:c r="D42" s="2" t="str"/>
    </x:row>
    <x:row r="43" ht="25" customHeight="1">
      <x:c r="A43" s="1" t="str">
        <x:v>Azúcar en M</x:v>
      </x:c>
      <x:c r="B43" s="2" t="n">
        <x:f>B7/100</x:f>
        <x:v>0.1</x:v>
      </x:c>
      <x:c r="C43" s="1" t="str">
        <x:v>fracción</x:v>
      </x:c>
      <x:c r="D43" s="2" t="str"/>
    </x:row>
    <x:row r="44" ht="25" customHeight="1">
      <x:c r="A44" s="1" t="str">
        <x:v>Fracción de trub</x:v>
      </x:c>
      <x:c r="B44" s="2" t="n">
        <x:f>B18/100</x:f>
        <x:v>0.015</x:v>
      </x:c>
      <x:c r="C44" s="1" t="str">
        <x:v>fracción</x:v>
      </x:c>
      <x:c r="D44" s="2" t="str"/>
    </x:row>
    <x:row r="45" ht="25" customHeight="1">
      <x:c r="A45" s="1" t="str">
        <x:v>Retención final de líquido</x:v>
      </x:c>
      <x:c r="B45" s="2" t="n">
        <x:f>(1-B19/100)*(1-B20/100)*(1-B21/100)</x:f>
        <x:v>1</x:v>
      </x:c>
      <x:c r="C45" s="1" t="str">
        <x:v>fracción</x:v>
      </x:c>
      <x:c r="D45" s="2" t="str"/>
    </x:row>
    <x:row r="46" ht="25" customHeight="1">
      <x:c r="A46" s="1" t="str">
        <x:v>Factor de masa antes del gas</x:v>
      </x:c>
      <x:c r="B46" s="2" t="n">
        <x:f>1-B44+B15/1000-B16/1000</x:f>
        <x:v>0.997</x:v>
      </x:c>
      <x:c r="C46" s="1" t="str">
        <x:v>fracción</x:v>
      </x:c>
      <x:c r="D46" s="2" t="str"/>
    </x:row>
    <x:row r="47" ht="25" customHeight="1">
      <x:c r="A47" s="1" t="str">
        <x:v>Factor de formación de gas</x:v>
      </x:c>
      <x:c r="B47" s="2" t="n">
        <x:f>B43*(1-B44)*B41</x:f>
        <x:v>0.050259192982456145</x:v>
      </x:c>
      <x:c r="C47" s="1" t="str">
        <x:v>fracción</x:v>
      </x:c>
      <x:c r="D47" s="2" t="str"/>
    </x:row>
    <x:row r="48" ht="25" customHeight="1">
      <x:c r="A48" s="1" t="str">
        <x:v>Conversión usada</x:v>
      </x:c>
      <x:c r="B48" s="2" t="n">
        <x:f>IF(B36&lt;2,(B24/100*B22*B46)/(B5*B43*(1-B44)*B40+B24/100*B22*B47),B25/100)</x:f>
        <x:v>0.07383811048591209</x:v>
      </x:c>
      <x:c r="C48" s="1" t="str">
        <x:v>fracción</x:v>
      </x:c>
      <x:c r="D48" s="2" t="str"/>
    </x:row>
    <x:row r="49" ht="25" customHeight="1">
      <x:c r="A49" s="1" t="str">
        <x:v>Mosto frío antes de sedimentar</x:v>
      </x:c>
      <x:c r="B49" s="2" t="n">
        <x:f>B38/(B45*(B46-B47*B48))</x:f>
        <x:v>325.383664035585</x:v>
      </x:c>
      <x:c r="C49" s="1" t="str">
        <x:v>kg</x:v>
      </x:c>
      <x:c r="D49" s="2" t="str"/>
    </x:row>
    <x:row r="50" ht="25" customHeight="1">
      <x:c r="A50" s="1" t="str">
        <x:v>Azúcar recuperado antes del trub</x:v>
      </x:c>
      <x:c r="B50" s="2" t="n">
        <x:f>B49*B43</x:f>
        <x:v>32.538366403558506</x:v>
      </x:c>
      <x:c r="C50" s="1" t="str">
        <x:v>kg</x:v>
      </x:c>
      <x:c r="D50" s="2" t="str"/>
    </x:row>
    <x:row r="51" ht="25" customHeight="1">
      <x:c r="A51" s="1" t="str">
        <x:v>Materia prima requerida</x:v>
      </x:c>
      <x:c r="B51" s="2" t="n">
        <x:f>B50/(B8/100)</x:f>
        <x:v>56.10063173027329</x:v>
      </x:c>
      <x:c r="C51" s="1" t="str">
        <x:v>kg</x:v>
      </x:c>
      <x:c r="D51" s="2" t="str"/>
    </x:row>
    <x:row r="52" ht="25" customHeight="1">
      <x:c r="A52" s="1" t="str">
        <x:v>Cáscara de arroz</x:v>
      </x:c>
      <x:c r="B52" s="2" t="n">
        <x:f>B51*B11/100</x:f>
        <x:v>2.8050315865136644</x:v>
      </x:c>
      <x:c r="C52" s="1" t="str">
        <x:v>kg</x:v>
      </x:c>
      <x:c r="D52" s="2" t="str"/>
    </x:row>
    <x:row r="53" ht="25" customHeight="1">
      <x:c r="A53" s="1" t="str">
        <x:v>Enzimas</x:v>
      </x:c>
      <x:c r="B53" s="2" t="n">
        <x:f>B51*B12/1000</x:f>
        <x:v>0.05610063173027329</x:v>
      </x:c>
      <x:c r="C53" s="1" t="str">
        <x:v>kg</x:v>
      </x:c>
      <x:c r="D53" s="2" t="str"/>
    </x:row>
    <x:row r="54" ht="25" customHeight="1">
      <x:c r="A54" s="1" t="str">
        <x:v>Lúpulo</x:v>
      </x:c>
      <x:c r="B54" s="2" t="n">
        <x:f>B49*B13/1000</x:f>
        <x:v>0.65076732807117</x:v>
      </x:c>
      <x:c r="C54" s="1" t="str">
        <x:v>kg</x:v>
      </x:c>
      <x:c r="D54" s="2" t="str"/>
    </x:row>
    <x:row r="55" ht="25" customHeight="1">
      <x:c r="A55" s="1" t="str">
        <x:v>Clarificante</x:v>
      </x:c>
      <x:c r="B55" s="2" t="n">
        <x:f>B49*B14/1000</x:f>
        <x:v>0.032538366403558505</x:v>
      </x:c>
      <x:c r="C55" s="1" t="str">
        <x:v>kg</x:v>
      </x:c>
      <x:c r="D55" s="2" t="str"/>
    </x:row>
    <x:row r="56" ht="25" customHeight="1">
      <x:c r="A56" s="1" t="str">
        <x:v>Inóculo añadido</x:v>
      </x:c>
      <x:c r="B56" s="2" t="n">
        <x:f>B49*B15/1000</x:f>
        <x:v>4.099834166848371</x:v>
      </x:c>
      <x:c r="C56" s="1" t="str">
        <x:v>kg</x:v>
      </x:c>
      <x:c r="D56" s="2" t="str"/>
    </x:row>
    <x:row r="57" ht="25" customHeight="1">
      <x:c r="A57" s="1" t="str">
        <x:v>Levadura separada</x:v>
      </x:c>
      <x:c r="B57" s="2" t="n">
        <x:f>B49*B16/1000</x:f>
        <x:v>0.195230198421351</x:v>
      </x:c>
      <x:c r="C57" s="1" t="str">
        <x:v>kg</x:v>
      </x:c>
      <x:c r="D57" s="2" t="str"/>
    </x:row>
    <x:row r="58" ht="25" customHeight="1">
      <x:c r="A58" s="1" t="str">
        <x:v>Agua equivalente en M</x:v>
      </x:c>
      <x:c r="B58" s="2" t="n">
        <x:f>B49-B50-B53-B54-B55</x:f>
        <x:v>292.1058913058215</x:v>
      </x:c>
      <x:c r="C58" s="1" t="str">
        <x:v>kg</x:v>
      </x:c>
      <x:c r="D58" s="2" t="str"/>
    </x:row>
    <x:row r="59" ht="25" customHeight="1">
      <x:c r="A59" s="1" t="str">
        <x:v>Agua antes del hervor</x:v>
      </x:c>
      <x:c r="B59" s="2" t="n">
        <x:f>B58/(1-B10/100)</x:f>
        <x:v>324.5621014509128</x:v>
      </x:c>
      <x:c r="C59" s="1" t="str">
        <x:v>kg</x:v>
      </x:c>
      <x:c r="D59" s="2" t="str"/>
    </x:row>
    <x:row r="60" ht="25" customHeight="1">
      <x:c r="A60" s="1" t="str">
        <x:v>Vapor de cocción</x:v>
      </x:c>
      <x:c r="B60" s="2" t="n">
        <x:f>B59*B10/100</x:f>
        <x:v>32.45621014509128</x:v>
      </x:c>
      <x:c r="C60" s="1" t="str">
        <x:v>kg</x:v>
      </x:c>
      <x:c r="D60" s="2" t="str"/>
    </x:row>
    <x:row r="61" ht="25" customHeight="1">
      <x:c r="A61" s="1" t="str">
        <x:v>Sólido seco equivalente de bagazo</x:v>
      </x:c>
      <x:c r="B61" s="2" t="n">
        <x:f>B51-B50+B52</x:f>
        <x:v>26.36729691322845</x:v>
      </x:c>
      <x:c r="C61" s="1" t="str">
        <x:v>kg</x:v>
      </x:c>
      <x:c r="D61" s="2" t="str">
        <x:v>G − S es residuo equivalente; no modela hidrólisis del almidón ni dextrinas.</x:v>
      </x:c>
    </x:row>
    <x:row r="62" ht="25" customHeight="1">
      <x:c r="A62" s="1" t="str">
        <x:v>Agua retenida en bagazo</x:v>
      </x:c>
      <x:c r="B62" s="2" t="n">
        <x:f>B61*B17</x:f>
        <x:v>26.36729691322845</x:v>
      </x:c>
      <x:c r="C62" s="1" t="str">
        <x:v>kg</x:v>
      </x:c>
      <x:c r="D62" s="2" t="str"/>
    </x:row>
    <x:row r="63" ht="25" customHeight="1">
      <x:c r="A63" s="1" t="str">
        <x:v>Bagazo húmedo</x:v>
      </x:c>
      <x:c r="B63" s="2" t="n">
        <x:f>B61+B62</x:f>
        <x:v>52.7345938264569</x:v>
      </x:c>
      <x:c r="C63" s="1" t="str">
        <x:v>kg</x:v>
      </x:c>
      <x:c r="D63" s="2" t="str"/>
    </x:row>
    <x:row r="64" ht="25" customHeight="1">
      <x:c r="A64" s="1" t="str">
        <x:v>Agua total requerida</x:v>
      </x:c>
      <x:c r="B64" s="2" t="n">
        <x:f>B59+B62</x:f>
        <x:v>350.92939836414126</x:v>
      </x:c>
      <x:c r="C64" s="1" t="str">
        <x:v>kg</x:v>
      </x:c>
      <x:c r="D64" s="2" t="str"/>
    </x:row>
    <x:row r="65" ht="25" customHeight="1">
      <x:c r="A65" s="1" t="str">
        <x:v>Agua de maceración</x:v>
      </x:c>
      <x:c r="B65" s="2" t="n">
        <x:f>B51*B9</x:f>
        <x:v>168.3018951908199</x:v>
      </x:c>
      <x:c r="C65" s="1" t="str">
        <x:v>kg</x:v>
      </x:c>
      <x:c r="D65" s="2" t="str"/>
    </x:row>
    <x:row r="66" ht="25" customHeight="1">
      <x:c r="A66" s="1" t="str">
        <x:v>Agua de lavado requerida</x:v>
      </x:c>
      <x:c r="B66" s="2" t="n">
        <x:f>B64-B65</x:f>
        <x:v>182.62750317332137</x:v>
      </x:c>
      <x:c r="C66" s="1" t="str">
        <x:v>kg</x:v>
      </x:c>
      <x:c r="D66" s="2" t="str"/>
    </x:row>
    <x:row r="67" ht="25" customHeight="1">
      <x:c r="A67" s="1" t="str">
        <x:v>Trub húmedo separado</x:v>
      </x:c>
      <x:c r="B67" s="2" t="n">
        <x:f>B49*B44</x:f>
        <x:v>4.880754960533775</x:v>
      </x:c>
      <x:c r="C67" s="1" t="str">
        <x:v>kg</x:v>
      </x:c>
      <x:c r="D67" s="2" t="str"/>
    </x:row>
    <x:row r="68" ht="25" customHeight="1">
      <x:c r="A68" s="1" t="str">
        <x:v>Mosto limpio antes de inocular</x:v>
      </x:c>
      <x:c r="B68" s="2" t="n">
        <x:f>B49-B67</x:f>
        <x:v>320.50290907505126</x:v>
      </x:c>
      <x:c r="C68" s="1" t="str">
        <x:v>kg</x:v>
      </x:c>
      <x:c r="D68" s="2" t="str"/>
    </x:row>
    <x:row r="69" ht="25" customHeight="1">
      <x:c r="A69" s="1" t="str">
        <x:v>Azúcar que llega al fermentador</x:v>
      </x:c>
      <x:c r="B69" s="2" t="n">
        <x:f>B50*(1-B44)</x:f>
        <x:v>32.05029090750513</x:v>
      </x:c>
      <x:c r="C69" s="1" t="str">
        <x:v>kg</x:v>
      </x:c>
      <x:c r="D69" s="2" t="str"/>
    </x:row>
    <x:row r="70" ht="25" customHeight="1">
      <x:c r="A70" s="1" t="str">
        <x:v>Azúcar consumido</x:v>
      </x:c>
      <x:c r="B70" s="2" t="n">
        <x:f>B69*B48</x:f>
        <x:v>2.366532921133987</x:v>
      </x:c>
      <x:c r="C70" s="1" t="str">
        <x:v>kg</x:v>
      </x:c>
      <x:c r="D70" s="2" t="str"/>
    </x:row>
    <x:row r="71" ht="25" customHeight="1">
      <x:c r="A71" s="1" t="str">
        <x:v>Etanol formado</x:v>
      </x:c>
      <x:c r="B71" s="2" t="n">
        <x:f>B70*B40</x:f>
        <x:v>1.2624000000000004</x:v>
      </x:c>
      <x:c r="C71" s="1" t="str">
        <x:v>kg</x:v>
      </x:c>
      <x:c r="D71" s="2" t="str"/>
    </x:row>
    <x:row r="72" ht="25" customHeight="1">
      <x:c r="A72" s="1" t="str">
        <x:v>CO₂ formado y liberado</x:v>
      </x:c>
      <x:c r="B72" s="2" t="n">
        <x:f>B70*B41</x:f>
        <x:v>1.207513043478261</x:v>
      </x:c>
      <x:c r="C72" s="1" t="str">
        <x:v>kg</x:v>
      </x:c>
      <x:c r="D72" s="2" t="str"/>
    </x:row>
    <x:row r="73" ht="25" customHeight="1">
      <x:c r="A73" s="1" t="str">
        <x:v>Agua consumida por reacción</x:v>
      </x:c>
      <x:c r="B73" s="2" t="n">
        <x:f>B70*B42</x:f>
        <x:v>0.10338012234427418</x:v>
      </x:c>
      <x:c r="C73" s="1" t="str">
        <x:v>kg</x:v>
      </x:c>
      <x:c r="D73" s="2" t="str"/>
    </x:row>
    <x:row r="74" ht="25" customHeight="1">
      <x:c r="A74" s="1" t="str">
        <x:v>Azúcar residual antes de mermas</x:v>
      </x:c>
      <x:c r="B74" s="2" t="n">
        <x:f>B69-B70</x:f>
        <x:v>29.68375798637114</x:v>
      </x:c>
      <x:c r="C74" s="1" t="str">
        <x:v>kg</x:v>
      </x:c>
      <x:c r="D74" s="2" t="str"/>
    </x:row>
    <x:row r="75" ht="25" customHeight="1">
      <x:c r="A75" s="1" t="str">
        <x:v>Cerveza joven</x:v>
      </x:c>
      <x:c r="B75" s="2" t="n">
        <x:f>B68+B56-B72-B57</x:f>
        <x:v>323.2</x:v>
      </x:c>
      <x:c r="C75" s="1" t="str">
        <x:v>kg</x:v>
      </x:c>
      <x:c r="D75" s="2" t="str"/>
    </x:row>
    <x:row r="76" ht="25" customHeight="1">
      <x:c r="A76" s="1" t="str">
        <x:v>Merma de maduración</x:v>
      </x:c>
      <x:c r="B76" s="2" t="n">
        <x:f>B75*B19/100</x:f>
        <x:v>0</x:v>
      </x:c>
      <x:c r="C76" s="1" t="str">
        <x:v>kg</x:v>
      </x:c>
      <x:c r="D76" s="2" t="str"/>
    </x:row>
    <x:row r="77" ht="25" customHeight="1">
      <x:c r="A77" s="1" t="str">
        <x:v>Cerveza madurada</x:v>
      </x:c>
      <x:c r="B77" s="2" t="n">
        <x:f>B75-B76</x:f>
        <x:v>323.2</x:v>
      </x:c>
      <x:c r="C77" s="1" t="str">
        <x:v>kg</x:v>
      </x:c>
      <x:c r="D77" s="2" t="str"/>
    </x:row>
    <x:row r="78" ht="25" customHeight="1">
      <x:c r="A78" s="1" t="str">
        <x:v>Merma de envasado</x:v>
      </x:c>
      <x:c r="B78" s="2" t="n">
        <x:f>B77*B20/100</x:f>
        <x:v>0</x:v>
      </x:c>
      <x:c r="C78" s="1" t="str">
        <x:v>kg</x:v>
      </x:c>
      <x:c r="D78" s="2" t="str"/>
    </x:row>
    <x:row r="79" ht="25" customHeight="1">
      <x:c r="A79" s="1" t="str">
        <x:v>Cerveza envasada antes de pasteurizar</x:v>
      </x:c>
      <x:c r="B79" s="2" t="n">
        <x:f>B77-B78</x:f>
        <x:v>323.2</x:v>
      </x:c>
      <x:c r="C79" s="1" t="str">
        <x:v>kg</x:v>
      </x:c>
      <x:c r="D79" s="2" t="str"/>
    </x:row>
    <x:row r="80" ht="25" customHeight="1">
      <x:c r="A80" s="1" t="str">
        <x:v>Merma de pasteurización</x:v>
      </x:c>
      <x:c r="B80" s="2" t="n">
        <x:f>B79*B21/100</x:f>
        <x:v>0</x:v>
      </x:c>
      <x:c r="C80" s="1" t="str">
        <x:v>kg</x:v>
      </x:c>
      <x:c r="D80" s="2" t="str"/>
    </x:row>
    <x:row r="81" ht="25" customHeight="1">
      <x:c r="A81" s="1" t="str">
        <x:v>Producto calculado</x:v>
      </x:c>
      <x:c r="B81" s="2" t="n">
        <x:f>B79-B80</x:f>
        <x:v>323.2</x:v>
      </x:c>
      <x:c r="C81" s="1" t="str">
        <x:v>kg</x:v>
      </x:c>
      <x:c r="D81" s="2" t="str"/>
    </x:row>
    <x:row r="82" ht="25" customHeight="1">
      <x:c r="A82" s="1" t="str">
        <x:v>Etanol en cerveza terminada</x:v>
      </x:c>
      <x:c r="B82" s="2" t="n">
        <x:f>B71*B45</x:f>
        <x:v>1.2624000000000004</x:v>
      </x:c>
      <x:c r="C82" s="1" t="str">
        <x:v>kg</x:v>
      </x:c>
      <x:c r="D82" s="2" t="str"/>
    </x:row>
    <x:row r="83" ht="25" customHeight="1">
      <x:c r="A83" s="1" t="str">
        <x:v>Azúcar residual en cerveza terminada</x:v>
      </x:c>
      <x:c r="B83" s="2" t="n">
        <x:f>B74*B45</x:f>
        <x:v>29.68375798637114</x:v>
      </x:c>
      <x:c r="C83" s="1" t="str">
        <x:v>kg</x:v>
      </x:c>
      <x:c r="D83" s="2" t="str"/>
    </x:row>
    <x:row r="84" ht="25" customHeight="1">
      <x:c r="A84" s="1" t="str">
        <x:v>Alcohol estimado</x:v>
      </x:c>
      <x:c r="B84" s="2" t="n">
        <x:f>B82/B22/B4*100</x:f>
        <x:v>0.5000000000000002</x:v>
      </x:c>
      <x:c r="C84" s="1" t="str">
        <x:v>% v/v</x:v>
      </x:c>
      <x:c r="D84" s="2" t="str"/>
    </x:row>
    <x:row r="85" ht="25" customHeight="1">
      <x:c r="A85" s="1" t="str">
        <x:v>Mosto filtrado antes de cocción</x:v>
      </x:c>
      <x:c r="B85" s="2" t="n">
        <x:f>B49+B60-B54-B55</x:f>
        <x:v>357.15656848620154</x:v>
      </x:c>
      <x:c r="C85" s="1" t="str">
        <x:v>kg</x:v>
      </x:c>
      <x:c r="D85" s="2" t="str"/>
    </x:row>
    <x:row r="86" ht="25" customHeight="1">
      <x:c r="A86" s="1" t="str">
        <x:v>Volumen de mosto filtrado</x:v>
      </x:c>
      <x:c r="B86" s="2" t="n">
        <x:f>B85/B6</x:f>
        <x:v>343.41977739057836</x:v>
      </x:c>
      <x:c r="C86" s="1" t="str">
        <x:v>L</x:v>
      </x:c>
      <x:c r="D86" s="2" t="str"/>
    </x:row>
    <x:row r="87" ht="25" customHeight="1">
      <x:c r="A87" s="1" t="str">
        <x:v>Maltosa al fermentador</x:v>
      </x:c>
      <x:c r="B87" s="2" t="n">
        <x:f>B69*B39</x:f>
        <x:v>26.601741453229256</x:v>
      </x:c>
      <x:c r="C87" s="1" t="str">
        <x:v>kg</x:v>
      </x:c>
      <x:c r="D87" s="2" t="str"/>
    </x:row>
    <x:row r="88" ht="25" customHeight="1">
      <x:c r="A88" s="1" t="str">
        <x:v>Glucosa al fermentador</x:v>
      </x:c>
      <x:c r="B88" s="2" t="n">
        <x:f>B69*(1-B39)</x:f>
        <x:v>5.448549454275874</x:v>
      </x:c>
      <x:c r="C88" s="1" t="str">
        <x:v>kg</x:v>
      </x:c>
      <x:c r="D88" s="2" t="str"/>
    </x:row>
    <x:row r="89" ht="25" customHeight="1">
      <x:c r="A89" s="1" t="str">
        <x:v>Maltosa consumida</x:v>
      </x:c>
      <x:c r="B89" s="2" t="n">
        <x:f>B87*B48</x:f>
        <x:v>1.9642223245412094</x:v>
      </x:c>
      <x:c r="C89" s="1" t="str">
        <x:v>kg</x:v>
      </x:c>
      <x:c r="D89" s="2" t="str"/>
    </x:row>
    <x:row r="90" ht="25" customHeight="1">
      <x:c r="A90" s="1" t="str">
        <x:v>Glucosa consumida</x:v>
      </x:c>
      <x:c r="B90" s="2" t="n">
        <x:f>B88*B48</x:f>
        <x:v>0.40231059659277796</x:v>
      </x:c>
      <x:c r="C90" s="1" t="str">
        <x:v>kg</x:v>
      </x:c>
      <x:c r="D90" s="2" t="str"/>
    </x:row>
    <x:row r="91" ht="25" customHeight="1">
      <x:c r="A91" s="1" t="str">
        <x:v>Etanol formado desde maltosa</x:v>
      </x:c>
      <x:c r="B91" s="2" t="n">
        <x:f>B89*184/342</x:f>
        <x:v>1.0567745839636915</x:v>
      </x:c>
      <x:c r="C91" s="1" t="str">
        <x:v>kg</x:v>
      </x:c>
      <x:c r="D91" s="2" t="str"/>
    </x:row>
    <x:row r="92" ht="25" customHeight="1">
      <x:c r="A92" s="1" t="str">
        <x:v>Etanol formado desde glucosa</x:v>
      </x:c>
      <x:c r="B92" s="2" t="n">
        <x:f>B90*92/180</x:f>
        <x:v>0.20562541603630874</x:v>
      </x:c>
      <x:c r="C92" s="1" t="str">
        <x:v>kg</x:v>
      </x:c>
      <x:c r="D92" s="2" t="str"/>
    </x:row>
    <x:row r="93" ht="25" customHeight="1">
      <x:c r="A93" s="1" t="str">
        <x:v>CO₂ formado desde maltosa</x:v>
      </x:c>
      <x:c r="B93" s="2" t="n">
        <x:f>B89*176/342</x:f>
        <x:v>1.010827862921792</x:v>
      </x:c>
      <x:c r="C93" s="1" t="str">
        <x:v>kg</x:v>
      </x:c>
      <x:c r="D93" s="2" t="str"/>
    </x:row>
    <x:row r="94" ht="25" customHeight="1">
      <x:c r="A94" s="1" t="str">
        <x:v>CO₂ formado desde glucosa</x:v>
      </x:c>
      <x:c r="B94" s="2" t="n">
        <x:f>B90*88/180</x:f>
        <x:v>0.19668518055646922</x:v>
      </x:c>
      <x:c r="C94" s="1" t="str">
        <x:v>kg</x:v>
      </x:c>
      <x:c r="D94" s="2" t="str"/>
    </x:row>
    <x:row r="95" ht="25" customHeight="1">
      <x:c r="A95" s="1" t="str">
        <x:v>Cierre de masa de las reacciones</x:v>
      </x:c>
      <x:c r="B95" s="2" t="n">
        <x:f>B70+B73-B71-B72</x:f>
        <x:v>0</x:v>
      </x:c>
      <x:c r="C95" s="1" t="str">
        <x:v>kg</x:v>
      </x:c>
      <x:c r="D95" s="2" t="str">
        <x:v>Azúcar consumido + agua consumida − etanol − CO₂.</x:v>
      </x:c>
    </x:row>
    <x:row r="96" ht="25" customHeight="1">
      <x:c r="A96" s="1" t="str">
        <x:v>Total de entradas</x:v>
      </x:c>
      <x:c r="B96" s="2" t="n">
        <x:f>B65+B66+B51+B52+B53+B54+B55+B56</x:f>
        <x:v>414.67430217398163</x:v>
      </x:c>
      <x:c r="C96" s="1" t="str">
        <x:v>kg</x:v>
      </x:c>
      <x:c r="D96" s="2" t="str"/>
    </x:row>
    <x:row r="97" ht="25" customHeight="1">
      <x:c r="A97" s="1" t="str">
        <x:v>Total de salidas</x:v>
      </x:c>
      <x:c r="B97" s="2" t="n">
        <x:f>B81+B63+B60+B67+B72+B57+B76+B78+B80</x:f>
        <x:v>414.6743021739816</x:v>
      </x:c>
      <x:c r="C97" s="1" t="str">
        <x:v>kg</x:v>
      </x:c>
      <x:c r="D97" s="2" t="str"/>
    </x:row>
    <x:row r="98" ht="25" customHeight="1">
      <x:c r="A98" s="1" t="str">
        <x:v>Entradas − salidas</x:v>
      </x:c>
      <x:c r="B98" s="2" t="n">
        <x:f>B96-B97</x:f>
        <x:v>5.684341886080802e-14</x:v>
      </x:c>
      <x:c r="C98" s="1" t="str">
        <x:v>kg</x:v>
      </x:c>
      <x:c r="D98" s="2" t="str"/>
    </x:row>
    <x:row r="99" ht="25" customHeight="1">
      <x:c r="A99" s="1" t="str">
        <x:v>Diferencia / entradas</x:v>
      </x:c>
      <x:c r="B99" s="2" t="n">
        <x:f>B98/B96*100</x:f>
        <x:v>1.3707967569439272e-14</x:v>
      </x:c>
      <x:c r="C99" s="1" t="str">
        <x:v>%</x:v>
      </x:c>
      <x:c r="D99" s="2" t="str"/>
    </x:row>
    <x:row r="100" ht="25" customHeight="1">
      <x:c r="A100" s="6" t="str">
        <x:v>Etapa</x:v>
      </x:c>
      <x:c r="B100" s="8" t="str">
        <x:v>Entra (kg)</x:v>
      </x:c>
      <x:c r="C100" s="6" t="str">
        <x:v>Sale (kg)</x:v>
      </x:c>
      <x:c r="D100" s="8" t="str">
        <x:v>Diferencia (kg)</x:v>
      </x:c>
    </x:row>
    <x:row r="101" ht="25" customHeight="1">
      <x:c r="A101" s="1" t="str">
        <x:v>Molienda</x:v>
      </x:c>
      <x:c r="B101" s="2" t="n">
        <x:f>B51</x:f>
        <x:v>56.10063173027329</x:v>
      </x:c>
      <x:c r="C101" s="2" t="n">
        <x:f>B51</x:f>
        <x:v>56.10063173027329</x:v>
      </x:c>
      <x:c r="D101" s="2" t="n">
        <x:f>B101-C101</x:f>
        <x:v>0</x:v>
      </x:c>
    </x:row>
    <x:row r="102" ht="25" customHeight="1">
      <x:c r="A102" s="1" t="str">
        <x:v>Maceración / acondicionamiento</x:v>
      </x:c>
      <x:c r="B102" s="2" t="n">
        <x:f>B51+B65+B53</x:f>
        <x:v>224.45862755282343</x:v>
      </x:c>
      <x:c r="C102" s="2" t="n">
        <x:f>B51+B65+B53</x:f>
        <x:v>224.45862755282343</x:v>
      </x:c>
      <x:c r="D102" s="2" t="n">
        <x:f>B102-C102</x:f>
        <x:v>0</x:v>
      </x:c>
    </x:row>
    <x:row r="103" ht="25" customHeight="1">
      <x:c r="A103" s="1" t="str">
        <x:v>Filtración y lavado</x:v>
      </x:c>
      <x:c r="B103" s="2" t="n">
        <x:f>B51+B65+B53+B66+B52</x:f>
        <x:v>409.8911623126585</x:v>
      </x:c>
      <x:c r="C103" s="2" t="n">
        <x:f>B85+B63</x:f>
        <x:v>409.8911623126584</x:v>
      </x:c>
      <x:c r="D103" s="2" t="n">
        <x:f>B103-C103</x:f>
        <x:v>5.684341886080802e-14</x:v>
      </x:c>
    </x:row>
    <x:row r="104" ht="25" customHeight="1">
      <x:c r="A104" s="1" t="str">
        <x:v>Cocción</x:v>
      </x:c>
      <x:c r="B104" s="2" t="n">
        <x:f>B85+B54+B55</x:f>
        <x:v>357.8398741806763</x:v>
      </x:c>
      <x:c r="C104" s="2" t="n">
        <x:f>B49+B60</x:f>
        <x:v>357.8398741806763</x:v>
      </x:c>
      <x:c r="D104" s="2" t="n">
        <x:f>B104-C104</x:f>
        <x:v>0</x:v>
      </x:c>
    </x:row>
    <x:row r="105" ht="25" customHeight="1">
      <x:c r="A105" s="1" t="str">
        <x:v>Sedimentación</x:v>
      </x:c>
      <x:c r="B105" s="2" t="n">
        <x:f>B49</x:f>
        <x:v>325.383664035585</x:v>
      </x:c>
      <x:c r="C105" s="2" t="n">
        <x:f>B68+B67</x:f>
        <x:v>325.383664035585</x:v>
      </x:c>
      <x:c r="D105" s="2" t="n">
        <x:f>B105-C105</x:f>
        <x:v>0</x:v>
      </x:c>
    </x:row>
    <x:row r="106" ht="25" customHeight="1">
      <x:c r="A106" s="1" t="str">
        <x:v>Enfriamiento</x:v>
      </x:c>
      <x:c r="B106" s="2" t="n">
        <x:f>B68</x:f>
        <x:v>320.50290907505126</x:v>
      </x:c>
      <x:c r="C106" s="2" t="n">
        <x:f>B68</x:f>
        <x:v>320.50290907505126</x:v>
      </x:c>
      <x:c r="D106" s="2" t="n">
        <x:f>B106-C106</x:f>
        <x:v>0</x:v>
      </x:c>
    </x:row>
    <x:row r="107" ht="25" customHeight="1">
      <x:c r="A107" s="1" t="str">
        <x:v>Fermentación</x:v>
      </x:c>
      <x:c r="B107" s="2" t="n">
        <x:f>B68+B56</x:f>
        <x:v>324.60274324189965</x:v>
      </x:c>
      <x:c r="C107" s="2" t="n">
        <x:f>B75+B72+B57</x:f>
        <x:v>324.60274324189965</x:v>
      </x:c>
      <x:c r="D107" s="2" t="n">
        <x:f>B107-C107</x:f>
        <x:v>0</x:v>
      </x:c>
    </x:row>
    <x:row r="108" ht="25" customHeight="1">
      <x:c r="A108" s="1" t="str">
        <x:v>Maduración</x:v>
      </x:c>
      <x:c r="B108" s="2" t="n">
        <x:f>B75</x:f>
        <x:v>323.2</x:v>
      </x:c>
      <x:c r="C108" s="2" t="n">
        <x:f>B77+B76</x:f>
        <x:v>323.2</x:v>
      </x:c>
      <x:c r="D108" s="2" t="n">
        <x:f>B108-C108</x:f>
        <x:v>0</x:v>
      </x:c>
    </x:row>
    <x:row r="109" ht="25" customHeight="1">
      <x:c r="A109" s="1" t="str">
        <x:v>Enfriamiento y envasado</x:v>
      </x:c>
      <x:c r="B109" s="2" t="n">
        <x:f>B77</x:f>
        <x:v>323.2</x:v>
      </x:c>
      <x:c r="C109" s="2" t="n">
        <x:f>B79+B78</x:f>
        <x:v>323.2</x:v>
      </x:c>
      <x:c r="D109" s="2" t="n">
        <x:f>B109-C109</x:f>
        <x:v>0</x:v>
      </x:c>
    </x:row>
    <x:row r="110" ht="25" customHeight="1">
      <x:c r="A110" s="1" t="str">
        <x:v>Pasteurización (opcional)</x:v>
      </x:c>
      <x:c r="B110" s="2" t="n">
        <x:f>B79</x:f>
        <x:v>323.2</x:v>
      </x:c>
      <x:c r="C110" s="2" t="n">
        <x:f>B81+B80</x:f>
        <x:v>323.2</x:v>
      </x:c>
      <x:c r="D110" s="2" t="n">
        <x:f>B110-C110</x:f>
        <x:v>0</x:v>
      </x:c>
    </x:row>
    <x:row r="111" ht="25" customHeight="1">
      <x:c r="A111" s="6" t="str">
        <x:v>Extensión de energía: aproximaciones; no integra el cierre de masa</x:v>
      </x:c>
      <x:c r="B111" s="8" t="str"/>
      <x:c r="C111" s="6" t="str"/>
      <x:c r="D111" s="8" t="str"/>
    </x:row>
    <x:row r="112" ht="25" customHeight="1">
      <x:c r="A112" s="1" t="str">
        <x:v>Calor sensible para calentar</x:v>
      </x:c>
      <x:c r="B112" s="2" t="n">
        <x:f>(B49+B60)*B26*(B28-B27)</x:f>
        <x:v>114508.75973781642</x:v>
      </x:c>
      <x:c r="C112" s="1" t="str">
        <x:v>kJ/lote</x:v>
      </x:c>
      <x:c r="D112" s="2" t="str"/>
    </x:row>
    <x:row r="113" ht="25" customHeight="1">
      <x:c r="A113" s="1" t="str">
        <x:v>Calor de vaporización</x:v>
      </x:c>
      <x:c r="B113" s="2" t="n">
        <x:f>B60*B31</x:f>
        <x:v>73253.66629747102</x:v>
      </x:c>
      <x:c r="C113" s="1" t="str">
        <x:v>kJ/lote</x:v>
      </x:c>
      <x:c r="D113" s="2" t="str"/>
    </x:row>
    <x:row r="114" ht="25" customHeight="1">
      <x:c r="A114" s="1" t="str">
        <x:v>Calor total ideal del hervor</x:v>
      </x:c>
      <x:c r="B114" s="2" t="n">
        <x:f>B112+B113</x:f>
        <x:v>187762.42603528744</x:v>
      </x:c>
      <x:c r="C114" s="1" t="str">
        <x:v>kJ/lote</x:v>
      </x:c>
      <x:c r="D114" s="2" t="str">
        <x:v>Sin pérdidas térmicas ni eficiencia de caldera.</x:v>
      </x:c>
    </x:row>
    <x:row r="115" ht="25" customHeight="1">
      <x:c r="A115" s="1" t="str">
        <x:v>Calor retirado del mosto limpio</x:v>
      </x:c>
      <x:c r="B115" s="2" t="n">
        <x:f>B68*B26*(B28-B29)</x:f>
        <x:v>102560.93090401641</x:v>
      </x:c>
      <x:c r="C115" s="1" t="str">
        <x:v>kJ/lote</x:v>
      </x:c>
      <x:c r="D115" s="2" t="str"/>
    </x:row>
    <x:row r="116" ht="25" customHeight="1">
      <x:c r="A116" s="1" t="str">
        <x:v>Potencia media de enfriamiento</x:v>
      </x:c>
      <x:c r="B116" s="2" t="n">
        <x:f>B115/(B30*60)</x:f>
        <x:v>56.97829494667578</x:v>
      </x:c>
      <x:c r="C116" s="1" t="str">
        <x:v>kW</x:v>
      </x:c>
      <x:c r="D116" s="2" t="str"/>
    </x:row>
    <x:row r="117" ht="25" customHeight="1">
      <x:c r="A117" s="1" t="str">
        <x:v>Trabajo específico ideal de bomba</x:v>
      </x:c>
      <x:c r="B117" s="2" t="n">
        <x:f>B32/(B6*1000)/1000</x:f>
        <x:v>0.028846153846153848</x:v>
      </x:c>
      <x:c r="C117" s="1" t="str">
        <x:v>kJ/kg</x:v>
      </x:c>
      <x:c r="D117" s="2" t="str"/>
    </x:row>
    <x:row r="118" ht="25" customHeight="1">
      <x:c r="A118" s="1" t="str">
        <x:v>Trabajo específico real</x:v>
      </x:c>
      <x:c r="B118" s="2" t="n">
        <x:f>B117/(B33/100)</x:f>
        <x:v>0.04006410256410257</x:v>
      </x:c>
      <x:c r="C118" s="1" t="str">
        <x:v>kJ/kg</x:v>
      </x:c>
      <x:c r="D118" s="2" t="str"/>
    </x:row>
    <x:row r="119" ht="25" customHeight="1">
      <x:c r="A119" s="1" t="str">
        <x:v>Aumento irreversible aproximado de T</x:v>
      </x:c>
      <x:c r="B119" s="2" t="n">
        <x:f>(B118-B117)/B26</x:f>
        <x:v>0.00280448717948718</x:v>
      </x:c>
      <x:c r="C119" s="1" t="str">
        <x:v>K</x:v>
      </x:c>
      <x:c r="D119" s="2" t="str"/>
    </x:row>
    <x:row r="120" ht="25" customHeight="1">
      <x:c r="A120" s="1" t="str">
        <x:v>Potencia media de trasiego</x:v>
      </x:c>
      <x:c r="B120" s="2" t="n">
        <x:f>B68/(B30*60)*B118</x:f>
        <x:v>0.007133700789597829</x:v>
      </x:c>
      <x:c r="C120" s="1" t="str">
        <x:v>kW</x:v>
      </x:c>
      <x:c r="D120" s="2" t="str"/>
    </x:row>
    <x:row r="121" ht="25" customHeight="1">
      <x:c r="A121" s="1" t="str">
        <x:v>Altura manométrica</x:v>
      </x:c>
      <x:c r="B121" s="2" t="n">
        <x:f>B32/(B6*1000*9.81)</x:f>
        <x:v>2.9404845918607387</x:v>
      </x:c>
      <x:c r="C121" s="1" t="str">
        <x:v>m</x:v>
      </x:c>
      <x:c r="D121" s="2" t="str"/>
    </x:row>
    <x:row r="122" ht="25" customHeight="1">
      <x:c r="A122" s="1" t="str">
        <x:v>NPSH disponible simplificado</x:v>
      </x:c>
      <x:c r="B122" s="2" t="n">
        <x:f>(B34-B35)/(B6*1000*9.81)</x:f>
        <x:v>9.70222692699757</x:v>
      </x:c>
      <x:c r="C122" s="1" t="str">
        <x:v>m</x:v>
      </x:c>
      <x:c r="D122" s="2" t="str">
        <x:v>Presiones en la sección de succión; comparar con NPSH requerido del fabricante.</x:v>
      </x:c>
    </x:row>
    <x:row r="123" ht="25" customHeight="1">
      <x:c r="A123" s="6" t="str">
        <x:v>Entradas</x:v>
      </x:c>
      <x:c r="B123" s="8" t="str">
        <x:v>kg/lote</x:v>
      </x:c>
      <x:c r="C123" s="6" t="str">
        <x:v>Salidas</x:v>
      </x:c>
      <x:c r="D123" s="8" t="str">
        <x:v>kg/lote</x:v>
      </x:c>
    </x:row>
    <x:row r="124" ht="25" customHeight="1">
      <x:c r="A124" s="1" t="str">
        <x:v>Agua de maceración</x:v>
      </x:c>
      <x:c r="B124" s="2" t="n">
        <x:f>B65</x:f>
        <x:v>168.3018951908199</x:v>
      </x:c>
      <x:c r="C124" s="1" t="str">
        <x:v>Cerveza final</x:v>
      </x:c>
      <x:c r="D124" s="2" t="n">
        <x:f>B81</x:f>
        <x:v>323.2</x:v>
      </x:c>
    </x:row>
    <x:row r="125" ht="25" customHeight="1">
      <x:c r="A125" s="1" t="str">
        <x:v>Agua de lavado</x:v>
      </x:c>
      <x:c r="B125" s="2" t="n">
        <x:f>B66</x:f>
        <x:v>182.62750317332137</x:v>
      </x:c>
      <x:c r="C125" s="1" t="str">
        <x:v>Bagazo húmedo</x:v>
      </x:c>
      <x:c r="D125" s="2" t="n">
        <x:f>B63</x:f>
        <x:v>52.7345938264569</x:v>
      </x:c>
    </x:row>
    <x:row r="126" ht="25" customHeight="1">
      <x:c r="A126" s="1" t="str">
        <x:v>Materia prima</x:v>
      </x:c>
      <x:c r="B126" s="2" t="n">
        <x:f>B51</x:f>
        <x:v>56.10063173027329</x:v>
      </x:c>
      <x:c r="C126" s="1" t="str">
        <x:v>Vapor</x:v>
      </x:c>
      <x:c r="D126" s="2" t="n">
        <x:f>B60</x:f>
        <x:v>32.45621014509128</x:v>
      </x:c>
    </x:row>
    <x:row r="127" ht="25" customHeight="1">
      <x:c r="A127" s="1" t="str">
        <x:v>Cáscara de arroz</x:v>
      </x:c>
      <x:c r="B127" s="2" t="n">
        <x:f>B52</x:f>
        <x:v>2.8050315865136644</x:v>
      </x:c>
      <x:c r="C127" s="1" t="str">
        <x:v>Trub húmedo</x:v>
      </x:c>
      <x:c r="D127" s="2" t="n">
        <x:f>B67</x:f>
        <x:v>4.880754960533775</x:v>
      </x:c>
    </x:row>
    <x:row r="128" ht="25" customHeight="1">
      <x:c r="A128" s="1" t="str">
        <x:v>Enzimas</x:v>
      </x:c>
      <x:c r="B128" s="2" t="n">
        <x:f>B53</x:f>
        <x:v>0.05610063173027329</x:v>
      </x:c>
      <x:c r="C128" s="1" t="str">
        <x:v>CO₂</x:v>
      </x:c>
      <x:c r="D128" s="2" t="n">
        <x:f>B72</x:f>
        <x:v>1.207513043478261</x:v>
      </x:c>
    </x:row>
    <x:row r="129" ht="25" customHeight="1">
      <x:c r="A129" s="1" t="str">
        <x:v>Lúpulo</x:v>
      </x:c>
      <x:c r="B129" s="2" t="n">
        <x:f>B54</x:f>
        <x:v>0.65076732807117</x:v>
      </x:c>
      <x:c r="C129" s="1" t="str">
        <x:v>Levadura separada</x:v>
      </x:c>
      <x:c r="D129" s="2" t="n">
        <x:f>B57</x:f>
        <x:v>0.195230198421351</x:v>
      </x:c>
    </x:row>
    <x:row r="130" ht="25" customHeight="1">
      <x:c r="A130" s="1" t="str">
        <x:v>Clarificante</x:v>
      </x:c>
      <x:c r="B130" s="2" t="n">
        <x:f>B55</x:f>
        <x:v>0.032538366403558505</x:v>
      </x:c>
      <x:c r="C130" s="1" t="str">
        <x:v>Merma maduración</x:v>
      </x:c>
      <x:c r="D130" s="2" t="n">
        <x:f>B76</x:f>
        <x:v>0</x:v>
      </x:c>
    </x:row>
    <x:row r="131" ht="25" customHeight="1">
      <x:c r="A131" s="1" t="str">
        <x:v>Inóculo: levadura y agua</x:v>
      </x:c>
      <x:c r="B131" s="2" t="n">
        <x:f>B56</x:f>
        <x:v>4.099834166848371</x:v>
      </x:c>
      <x:c r="C131" s="1" t="str">
        <x:v>Merma envasado</x:v>
      </x:c>
      <x:c r="D131" s="2" t="n">
        <x:f>B78</x:f>
        <x:v>0</x:v>
      </x:c>
    </x:row>
    <x:row r="132" ht="25" customHeight="1">
      <x:c r="A132" s="1" t="str"/>
      <x:c r="B132" s="2" t="str"/>
      <x:c r="C132" s="1" t="str">
        <x:v>Merma pasteurización</x:v>
      </x:c>
      <x:c r="D132" s="2" t="n">
        <x:f>B80</x:f>
        <x:v>0</x:v>
      </x:c>
    </x:row>
  </x:sheetData>
  <x:conditionalFormatting sqref="D101:D101">
    <x:cfRule type="cellIs" dxfId="32" priority="1" operator="notBetween">
      <x:formula>-0.00001</x:formula>
      <x:formula>0.00001</x:formula>
    </x:cfRule>
  </x:conditionalFormatting>
  <x:conditionalFormatting sqref="D102:D102">
    <x:cfRule type="cellIs" dxfId="33" priority="2" operator="notBetween">
      <x:formula>-0.00001</x:formula>
      <x:formula>0.00001</x:formula>
    </x:cfRule>
  </x:conditionalFormatting>
  <x:conditionalFormatting sqref="D103:D103">
    <x:cfRule type="cellIs" dxfId="34" priority="3" operator="notBetween">
      <x:formula>-0.00001</x:formula>
      <x:formula>0.00001</x:formula>
    </x:cfRule>
  </x:conditionalFormatting>
  <x:conditionalFormatting sqref="D104:D104">
    <x:cfRule type="cellIs" dxfId="35" priority="4" operator="notBetween">
      <x:formula>-0.00001</x:formula>
      <x:formula>0.00001</x:formula>
    </x:cfRule>
  </x:conditionalFormatting>
  <x:conditionalFormatting sqref="D105:D105">
    <x:cfRule type="cellIs" dxfId="36" priority="5" operator="notBetween">
      <x:formula>-0.00001</x:formula>
      <x:formula>0.00001</x:formula>
    </x:cfRule>
  </x:conditionalFormatting>
  <x:conditionalFormatting sqref="D106:D106">
    <x:cfRule type="cellIs" dxfId="37" priority="6" operator="notBetween">
      <x:formula>-0.00001</x:formula>
      <x:formula>0.00001</x:formula>
    </x:cfRule>
  </x:conditionalFormatting>
  <x:conditionalFormatting sqref="D107:D107">
    <x:cfRule type="cellIs" dxfId="38" priority="7" operator="notBetween">
      <x:formula>-0.00001</x:formula>
      <x:formula>0.00001</x:formula>
    </x:cfRule>
  </x:conditionalFormatting>
  <x:conditionalFormatting sqref="D108:D108">
    <x:cfRule type="cellIs" dxfId="39" priority="8" operator="notBetween">
      <x:formula>-0.00001</x:formula>
      <x:formula>0.00001</x:formula>
    </x:cfRule>
  </x:conditionalFormatting>
  <x:conditionalFormatting sqref="D109:D109">
    <x:cfRule type="cellIs" dxfId="40" priority="9" operator="notBetween">
      <x:formula>-0.00001</x:formula>
      <x:formula>0.00001</x:formula>
    </x:cfRule>
  </x:conditionalFormatting>
  <x:conditionalFormatting sqref="D110:D110">
    <x:cfRule type="cellIs" dxfId="41" priority="10" operator="notBetween">
      <x:formula>-0.00001</x:formula>
      <x:formula>0.00001</x:formula>
    </x:cfRule>
  </x:conditionalFormatting>
  <x:conditionalFormatting sqref="B98:B98">
    <x:cfRule type="cellIs" dxfId="42" priority="11" operator="notBetween">
      <x:formula>-0.00001</x:formula>
      <x:formula>0.00001</x:formula>
    </x:cfRule>
  </x:conditionalFormatting>
  <x:conditionalFormatting sqref="B66:B66">
    <x:cfRule type="cellIs" dxfId="43" priority="12" operator="lessThan">
      <x:formula>0</x:formula>
    </x:cfRule>
  </x:conditionalFormatting>
  <x:conditionalFormatting sqref="B68:B68">
    <x:cfRule type="cellIs" dxfId="44" priority="13" operator="lessThan">
      <x:formula>0</x:formula>
    </x:cfRule>
  </x:conditionalFormatting>
  <x:conditionalFormatting sqref="B85:B85">
    <x:cfRule type="cellIs" dxfId="45" priority="14" operator="lessThan">
      <x:formula>0</x:formula>
    </x:cfRule>
  </x:conditionalFormatting>
  <x:conditionalFormatting sqref="B64:B64">
    <x:cfRule type="cellIs" dxfId="46" priority="15" operator="lessThan">
      <x:formula>0</x:formula>
    </x:cfRule>
  </x:conditionalFormatting>
  <x:conditionalFormatting sqref="B74:B74">
    <x:cfRule type="cellIs" dxfId="47" priority="16" operator="lessThan">
      <x:formula>0</x:formula>
    </x:cfRule>
  </x:conditionalFormatting>
  <x:conditionalFormatting sqref="B63:B63">
    <x:cfRule type="cellIs" dxfId="48" priority="17" operator="lessThan">
      <x:formula>0</x:formula>
    </x:cfRule>
  </x:conditionalFormatting>
  <x:conditionalFormatting sqref="B48:B48">
    <x:cfRule type="cellIs" dxfId="49" priority="18" operator="notBetween">
      <x:formula>0</x:formula>
      <x:formula>1</x:formula>
    </x:cfRule>
  </x:conditionalFormatting>
  <x:dataValidations count="33">
    <x:dataValidation type="list" sqref="B36">
      <x:formula1>"1,2"</x:formula1>
    </x:dataValidation>
    <x:dataValidation type="decimal" operator="greaterThanOrEqual" sqref="B4">
      <x:formula1>0</x:formula1>
    </x:dataValidation>
    <x:dataValidation type="decimal" operator="greaterThanOrEqual" sqref="B5">
      <x:formula1>0</x:formula1>
    </x:dataValidation>
    <x:dataValidation type="decimal" operator="greaterThanOrEqual" sqref="B6">
      <x:formula1>0</x:formula1>
    </x:dataValidation>
    <x:dataValidation type="decimal" operator="between" sqref="B7">
      <x:formula1>0</x:formula1>
      <x:formula2>100</x:formula2>
    </x:dataValidation>
    <x:dataValidation type="decimal" operator="between" sqref="B8">
      <x:formula1>0</x:formula1>
      <x:formula2>100</x:formula2>
    </x:dataValidation>
    <x:dataValidation type="decimal" operator="greaterThanOrEqual" sqref="B9">
      <x:formula1>0</x:formula1>
    </x:dataValidation>
    <x:dataValidation type="decimal" operator="between" sqref="B10">
      <x:formula1>0</x:formula1>
      <x:formula2>100</x:formula2>
    </x:dataValidation>
    <x:dataValidation type="decimal" operator="between" sqref="B11">
      <x:formula1>0</x:formula1>
      <x:formula2>100</x:formula2>
    </x:dataValidation>
    <x:dataValidation type="decimal" operator="greaterThanOrEqual" sqref="B12">
      <x:formula1>0</x:formula1>
    </x:dataValidation>
    <x:dataValidation type="decimal" operator="greaterThanOrEqual" sqref="B13">
      <x:formula1>0</x:formula1>
    </x:dataValidation>
    <x:dataValidation type="decimal" operator="greaterThanOrEqual" sqref="B14">
      <x:formula1>0</x:formula1>
    </x:dataValidation>
    <x:dataValidation type="decimal" operator="greaterThanOrEqual" sqref="B15">
      <x:formula1>0</x:formula1>
    </x:dataValidation>
    <x:dataValidation type="decimal" operator="greaterThanOrEqual" sqref="B16">
      <x:formula1>0</x:formula1>
    </x:dataValidation>
    <x:dataValidation type="decimal" operator="greaterThanOrEqual" sqref="B17">
      <x:formula1>0</x:formula1>
    </x:dataValidation>
    <x:dataValidation type="decimal" operator="between" sqref="B18">
      <x:formula1>0</x:formula1>
      <x:formula2>100</x:formula2>
    </x:dataValidation>
    <x:dataValidation type="decimal" operator="between" sqref="B19">
      <x:formula1>0</x:formula1>
      <x:formula2>100</x:formula2>
    </x:dataValidation>
    <x:dataValidation type="decimal" operator="between" sqref="B20">
      <x:formula1>0</x:formula1>
      <x:formula2>100</x:formula2>
    </x:dataValidation>
    <x:dataValidation type="decimal" operator="between" sqref="B21">
      <x:formula1>0</x:formula1>
      <x:formula2>100</x:formula2>
    </x:dataValidation>
    <x:dataValidation type="decimal" operator="greaterThanOrEqual" sqref="B22">
      <x:formula1>0</x:formula1>
    </x:dataValidation>
    <x:dataValidation type="decimal" operator="between" sqref="B23">
      <x:formula1>0</x:formula1>
      <x:formula2>100</x:formula2>
    </x:dataValidation>
    <x:dataValidation type="decimal" operator="between" sqref="B24">
      <x:formula1>0</x:formula1>
      <x:formula2>100</x:formula2>
    </x:dataValidation>
    <x:dataValidation type="decimal" operator="between" sqref="B25">
      <x:formula1>0</x:formula1>
      <x:formula2>100</x:formula2>
    </x:dataValidation>
    <x:dataValidation type="decimal" operator="greaterThanOrEqual" sqref="B26">
      <x:formula1>0</x:formula1>
    </x:dataValidation>
    <x:dataValidation type="decimal" operator="greaterThanOrEqual" sqref="B27">
      <x:formula1>-273.15</x:formula1>
    </x:dataValidation>
    <x:dataValidation type="decimal" operator="greaterThanOrEqual" sqref="B28">
      <x:formula1>-273.15</x:formula1>
    </x:dataValidation>
    <x:dataValidation type="decimal" operator="greaterThanOrEqual" sqref="B29">
      <x:formula1>-273.15</x:formula1>
    </x:dataValidation>
    <x:dataValidation type="decimal" operator="greaterThanOrEqual" sqref="B30">
      <x:formula1>0</x:formula1>
    </x:dataValidation>
    <x:dataValidation type="decimal" operator="greaterThanOrEqual" sqref="B31">
      <x:formula1>0</x:formula1>
    </x:dataValidation>
    <x:dataValidation type="decimal" operator="greaterThanOrEqual" sqref="B32">
      <x:formula1>0</x:formula1>
    </x:dataValidation>
    <x:dataValidation type="decimal" operator="between" sqref="B33">
      <x:formula1>0</x:formula1>
      <x:formula2>100</x:formula2>
    </x:dataValidation>
    <x:dataValidation type="decimal" operator="greaterThanOrEqual" sqref="B34">
      <x:formula1>0</x:formula1>
    </x:dataValidation>
    <x:dataValidation type="decimal" operator="greaterThanOrEqual" sqref="B35">
      <x:formula1>0</x:formula1>
    </x:dataValidation>
  </x:dataValidations>
  <x:pageMargins left="0.7" right="0.7" top="0.75" bottom="0.75" header="0.3" footer="0.3"/>
</x:worksheet>
</file>