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326fa885e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iones" sheetId="1" r:id="Rf33348f26b1044c4"/>
    <x:sheet xmlns:r="http://schemas.openxmlformats.org/officeDocument/2006/relationships" name="Video" sheetId="2" r:id="Rdcde9547a59d4d3d"/>
    <x:sheet xmlns:r="http://schemas.openxmlformats.org/officeDocument/2006/relationships" name="Grupo" sheetId="3" r:id="R180162a801f5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%"/>
    <x:numFmt numFmtId="203" formatCode="0.000"/>
  </x:numFmts>
  <x:fonts count="5">
    <x:font>
      <x:sz val="11"/>
      <x:name val="Carlito"/>
    </x:font>
    <x:font>
      <x:sz val="11"/>
      <x:color rgb="FF332A25"/>
      <x:name val="Arial"/>
    </x:font>
    <x:font>
      <x:b/>
      <x:sz val="15"/>
      <x:color rgb="FFA74300"/>
      <x:name val="Arial"/>
    </x:font>
    <x:font>
      <x:b/>
      <x:sz val="11"/>
      <x:color rgb="FFFFFFFF"/>
      <x:name val="Arial"/>
    </x:font>
    <x:font>
      <x:b/>
      <x:sz val="11"/>
      <x:color rgb="FF332A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5"/>
      </x:patternFill>
    </x:fill>
    <x:fill>
      <x:patternFill patternType="solid">
        <x:fgColor rgb="FF87400D"/>
      </x:patternFill>
    </x:fill>
    <x:fill>
      <x:patternFill patternType="solid">
        <x:fgColor rgb="FFF1EE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b2ba433174c2e" /><Relationship Type="http://schemas.openxmlformats.org/officeDocument/2006/relationships/theme" Target="/xl/theme/theme1.xml" Id="R1a5cb3be5664411e" /><Relationship Type="http://schemas.openxmlformats.org/officeDocument/2006/relationships/sharedStrings" Target="/xl/sharedStrings.xml" Id="Raa07499064de4c56" /><Relationship Type="http://schemas.openxmlformats.org/officeDocument/2006/relationships/worksheet" Target="/xl/worksheets/sheet1.xml" Id="Rf33348f26b1044c4" /><Relationship Type="http://schemas.openxmlformats.org/officeDocument/2006/relationships/worksheet" Target="/xl/worksheets/sheet2.xml" Id="Rdcde9547a59d4d3d" /><Relationship Type="http://schemas.openxmlformats.org/officeDocument/2006/relationships/worksheet" Target="/xl/worksheets/sheet3.xml" Id="R180162a801f5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74300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7" hidden="0" customWidth="1"/>
    <x:col min="8" max="8" width="2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Medir el movimiento y estimar la energía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Código de participante</x:v>
      </x:c>
      <x:c r="B4" s="4"/>
      <x:c r="C4" s="2"/>
      <x:c r="D4" s="2" t="str">
        <x:v>Amarillo: completar. Gris: cálculo. Una copia por participante.</x:v>
      </x:c>
      <x:c r="E4" s="2"/>
      <x:c r="F4" s="2"/>
      <x:c r="G4" s="2"/>
      <x:c r="H4" s="2"/>
    </x:row>
    <x:row r="5" ht="23" customHeight="1">
      <x:c r="A5" s="2" t="str">
        <x:v>Masa, kg</x:v>
      </x:c>
      <x:c r="B5" s="5"/>
      <x:c r="C5" s="2"/>
      <x:c r="D5" s="2" t="str">
        <x:v>Medí el tramo con cinta u odómetro; registrá los instrumentos abajo.</x:v>
      </x:c>
      <x:c r="E5" s="2"/>
      <x:c r="F5" s="2"/>
      <x:c r="G5" s="2"/>
      <x:c r="H5" s="2"/>
    </x:row>
    <x:row r="6" ht="23" customHeight="1">
      <x:c r="A6" s="2" t="str">
        <x:v>Distancia del tramo, m</x:v>
      </x:c>
      <x:c r="B6" s="5"/>
      <x:c r="C6" s="2"/>
      <x:c r="D6" s="2" t="str">
        <x:v>K estimada usa rapidez media; no es K final ni gasto metabólico.</x:v>
      </x:c>
      <x:c r="E6" s="2"/>
      <x:c r="F6" s="2"/>
      <x:c r="G6" s="2"/>
      <x:c r="H6" s="2"/>
    </x:row>
    <x:row r="7" ht="23" customHeight="1">
      <x:c r="A7" s="2" t="str">
        <x:v>Margen de masa, kg</x:v>
      </x:c>
      <x:c r="B7" s="5"/>
      <x:c r="C7" s="2"/>
      <x:c r="D7" s="2" t="str">
        <x:v>Los márgenes son estimaciones del grupo, no solo resolución.</x:v>
      </x:c>
      <x:c r="E7" s="2"/>
      <x:c r="F7" s="2"/>
      <x:c r="G7" s="2"/>
      <x:c r="H7" s="2"/>
    </x:row>
    <x:row r="8" ht="23" customHeight="1">
      <x:c r="A8" s="2" t="str">
        <x:v>Margen de distancia, m</x:v>
      </x:c>
      <x:c r="B8" s="5"/>
      <x:c r="C8" s="2"/>
      <x:c r="D8" s="2" t="str">
        <x:v>u(v) y u(K): aproximación conservadora de primer orden.</x:v>
      </x:c>
      <x:c r="E8" s="2"/>
      <x:c r="F8" s="2"/>
      <x:c r="G8" s="2"/>
      <x:c r="H8" s="2"/>
    </x:row>
    <x:row r="9" ht="23" customHeight="1">
      <x:c r="A9" s="2" t="str">
        <x:v>Margen de tiempo, s</x:v>
      </x:c>
      <x:c r="B9" s="5"/>
      <x:c r="C9" s="2"/>
      <x:c r="D9" s="2" t="str">
        <x:v>Fuente: mediciones de la clase. No hay datos de muestra guardados.</x:v>
      </x:c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44" customHeight="1">
      <x:c r="A12" s="9" t="str">
        <x:v>Intento</x:v>
      </x:c>
      <x:c r="B12" s="9" t="str">
        <x:v>Tiempo, s</x:v>
      </x:c>
      <x:c r="C12" s="9" t="str">
        <x:v>v media, m/s</x:v>
      </x:c>
      <x:c r="D12" s="9" t="str">
        <x:v>K estimada, J</x:v>
      </x:c>
      <x:c r="E12" s="9" t="str">
        <x:v>Margen v, m/s</x:v>
      </x:c>
      <x:c r="F12" s="9" t="str">
        <x:v>Margen K, J</x:v>
      </x:c>
      <x:c r="G12" s="9" t="str">
        <x:v>Observación</x:v>
      </x:c>
      <x:c r="H12" s="9" t="str">
        <x:v>Revisar</x:v>
      </x:c>
    </x:row>
    <x:row r="13" ht="23" customHeight="1">
      <x:c r="A13" s="2" t="n">
        <x:v>1</x:v>
      </x:c>
      <x:c r="B13" s="5"/>
      <x:c r="C13" s="11" t="str">
        <x:f>IF(OR(COUNT($B$5:$B$6)&lt;2,$B$5&lt;=0,$B$6&lt;=0,COUNT(B13)=0,B13&lt;=0),"",$B$6/B13)</x:f>
      </x:c>
      <x:c r="D13" s="11" t="str">
        <x:f>IF(COUNT(C13)=0,"",0.5*$B$5*C13^2)</x:f>
      </x:c>
      <x:c r="E13" s="11" t="str">
        <x:f>IF(OR(COUNT(C13)=0,COUNT($B$7:$B$9)&lt;3,MIN($B$7:$B$9)&lt;0),"",C13*($B$8/$B$6+$B$9/B13))</x:f>
      </x:c>
      <x:c r="F13" s="11" t="str">
        <x:f>IF(COUNT(E13)=0,"",D13*($B$7/$B$5+2*$B$8/$B$6+2*$B$9/B13))</x:f>
      </x:c>
      <x:c r="G13" s="4"/>
      <x:c r="H13" s="2" t="str">
        <x:f>IF(COUNT(B13)=0,"",IF(B13&lt;=0,"Tiempo &gt; 0",IF(OR(COUNT($B$5:$B$6)&lt;2,$B$5&lt;=0,$B$6&lt;=0),"Completar masa/distancia","")))</x:f>
      </x:c>
    </x:row>
    <x:row r="14" ht="23" customHeight="1">
      <x:c r="A14" s="2" t="n">
        <x:v>2</x:v>
      </x:c>
      <x:c r="B14" s="5"/>
      <x:c r="C14" s="11" t="str">
        <x:f>IF(OR(COUNT($B$5:$B$6)&lt;2,$B$5&lt;=0,$B$6&lt;=0,COUNT(B14)=0,B14&lt;=0),"",$B$6/B14)</x:f>
      </x:c>
      <x:c r="D14" s="11" t="str">
        <x:f>IF(COUNT(C14)=0,"",0.5*$B$5*C14^2)</x:f>
      </x:c>
      <x:c r="E14" s="11" t="str">
        <x:f>IF(OR(COUNT(C14)=0,COUNT($B$7:$B$9)&lt;3,MIN($B$7:$B$9)&lt;0),"",C14*($B$8/$B$6+$B$9/B14))</x:f>
      </x:c>
      <x:c r="F14" s="11" t="str">
        <x:f>IF(COUNT(E14)=0,"",D14*($B$7/$B$5+2*$B$8/$B$6+2*$B$9/B14))</x:f>
      </x:c>
      <x:c r="G14" s="4"/>
      <x:c r="H14" s="2" t="str">
        <x:f>IF(COUNT(B14)=0,"",IF(B14&lt;=0,"Tiempo &gt; 0",IF(OR(COUNT($B$5:$B$6)&lt;2,$B$5&lt;=0,$B$6&lt;=0),"Completar masa/distancia","")))</x:f>
      </x:c>
    </x:row>
    <x:row r="15" ht="23" customHeight="1">
      <x:c r="A15" s="2" t="n">
        <x:v>3</x:v>
      </x:c>
      <x:c r="B15" s="5"/>
      <x:c r="C15" s="11" t="str">
        <x:f>IF(OR(COUNT($B$5:$B$6)&lt;2,$B$5&lt;=0,$B$6&lt;=0,COUNT(B15)=0,B15&lt;=0),"",$B$6/B15)</x:f>
      </x:c>
      <x:c r="D15" s="11" t="str">
        <x:f>IF(COUNT(C15)=0,"",0.5*$B$5*C15^2)</x:f>
      </x:c>
      <x:c r="E15" s="11" t="str">
        <x:f>IF(OR(COUNT(C15)=0,COUNT($B$7:$B$9)&lt;3,MIN($B$7:$B$9)&lt;0),"",C15*($B$8/$B$6+$B$9/B15))</x:f>
      </x:c>
      <x:c r="F15" s="11" t="str">
        <x:f>IF(COUNT(E15)=0,"",D15*($B$7/$B$5+2*$B$8/$B$6+2*$B$9/B15))</x:f>
      </x:c>
      <x:c r="G15" s="4"/>
      <x:c r="H15" s="2" t="str">
        <x:f>IF(COUNT(B15)=0,"",IF(B15&lt;=0,"Tiempo &gt; 0",IF(OR(COUNT($B$5:$B$6)&lt;2,$B$5&lt;=0,$B$6&lt;=0),"Completar masa/distancia","")))</x:f>
      </x:c>
    </x:row>
    <x:row r="16" ht="23" customHeight="1">
      <x:c r="A16" s="2" t="n">
        <x:v>4</x:v>
      </x:c>
      <x:c r="B16" s="5"/>
      <x:c r="C16" s="11" t="str">
        <x:f>IF(OR(COUNT($B$5:$B$6)&lt;2,$B$5&lt;=0,$B$6&lt;=0,COUNT(B16)=0,B16&lt;=0),"",$B$6/B16)</x:f>
      </x:c>
      <x:c r="D16" s="11" t="str">
        <x:f>IF(COUNT(C16)=0,"",0.5*$B$5*C16^2)</x:f>
      </x:c>
      <x:c r="E16" s="11" t="str">
        <x:f>IF(OR(COUNT(C16)=0,COUNT($B$7:$B$9)&lt;3,MIN($B$7:$B$9)&lt;0),"",C16*($B$8/$B$6+$B$9/B16))</x:f>
      </x:c>
      <x:c r="F16" s="11" t="str">
        <x:f>IF(COUNT(E16)=0,"",D16*($B$7/$B$5+2*$B$8/$B$6+2*$B$9/B16))</x:f>
      </x:c>
      <x:c r="G16" s="4"/>
      <x:c r="H16" s="2" t="str">
        <x:f>IF(COUNT(B16)=0,"",IF(B16&lt;=0,"Tiempo &gt; 0",IF(OR(COUNT($B$5:$B$6)&lt;2,$B$5&lt;=0,$B$6&lt;=0),"Completar masa/distancia","")))</x:f>
      </x:c>
    </x:row>
    <x:row r="17" ht="23" customHeight="1">
      <x:c r="A17" s="2" t="n">
        <x:v>5</x:v>
      </x:c>
      <x:c r="B17" s="5"/>
      <x:c r="C17" s="11" t="str">
        <x:f>IF(OR(COUNT($B$5:$B$6)&lt;2,$B$5&lt;=0,$B$6&lt;=0,COUNT(B17)=0,B17&lt;=0),"",$B$6/B17)</x:f>
      </x:c>
      <x:c r="D17" s="11" t="str">
        <x:f>IF(COUNT(C17)=0,"",0.5*$B$5*C17^2)</x:f>
      </x:c>
      <x:c r="E17" s="11" t="str">
        <x:f>IF(OR(COUNT(C17)=0,COUNT($B$7:$B$9)&lt;3,MIN($B$7:$B$9)&lt;0),"",C17*($B$8/$B$6+$B$9/B17))</x:f>
      </x:c>
      <x:c r="F17" s="11" t="str">
        <x:f>IF(COUNT(E17)=0,"",D17*($B$7/$B$5+2*$B$8/$B$6+2*$B$9/B17))</x:f>
      </x:c>
      <x:c r="G17" s="4"/>
      <x:c r="H17" s="2" t="str">
        <x:f>IF(COUNT(B17)=0,"",IF(B17&lt;=0,"Tiempo &gt; 0",IF(OR(COUNT($B$5:$B$6)&lt;2,$B$5&lt;=0,$B$6&lt;=0),"Completar masa/distancia","")))</x:f>
      </x:c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12" t="str">
        <x:v>Estadística de las repeticiones</x:v>
      </x:c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 t="str">
        <x:v>Intentos válidos</x:v>
      </x:c>
      <x:c r="B22" s="14" t="n">
        <x:f>COUNT(C13:C17)</x:f>
        <x:v>0</x:v>
      </x:c>
      <x:c r="C22" s="2"/>
      <x:c r="D22" s="2" t="str">
        <x:v>No mezcles distintas personas en estas repeticiones.</x:v>
      </x:c>
      <x:c r="E22" s="2"/>
      <x:c r="F22" s="2"/>
      <x:c r="G22" s="2"/>
      <x:c r="H22" s="2"/>
    </x:row>
    <x:row r="23" ht="23" customHeight="1">
      <x:c r="A23" s="2" t="str">
        <x:v>Media de tiempos, s</x:v>
      </x:c>
      <x:c r="B23" s="13" t="str">
        <x:f>IF(B22=0,"",SUMIFS(B13:B17,C13:C17,"&gt;0")/B22)</x:f>
      </x:c>
      <x:c r="C23" s="2"/>
      <x:c r="D23" s="2" t="str">
        <x:v>El CV describe dispersión entre intentos, no precisión instrumental.</x:v>
      </x:c>
      <x:c r="E23" s="2"/>
      <x:c r="F23" s="2"/>
      <x:c r="G23" s="2"/>
      <x:c r="H23" s="2"/>
    </x:row>
    <x:row r="24" ht="23" customHeight="1">
      <x:c r="A24" s="2" t="str">
        <x:v>Media de rapideces, m/s</x:v>
      </x:c>
      <x:c r="B24" s="13" t="str">
        <x:f>IF(B22=0,"",AVERAGE(C13:C17))</x:f>
      </x:c>
      <x:c r="C24" s="2"/>
      <x:c r="D24" s="2" t="str">
        <x:v>Media de K y K de la rapidez media no coinciden en general.</x:v>
      </x:c>
      <x:c r="E24" s="2"/>
      <x:c r="F24" s="2"/>
      <x:c r="G24" s="2"/>
      <x:c r="H24" s="2"/>
    </x:row>
    <x:row r="25" ht="23" customHeight="1">
      <x:c r="A25" s="2" t="str">
        <x:v>Mediana de rapideces, m/s</x:v>
      </x:c>
      <x:c r="B25" s="13" t="str">
        <x:f>IF(B22=0,"",MEDIAN(C13:C17))</x:f>
      </x:c>
      <x:c r="C25" s="2"/>
      <x:c r="D25" s="2"/>
      <x:c r="E25" s="2"/>
      <x:c r="F25" s="2"/>
      <x:c r="G25" s="2"/>
      <x:c r="H25" s="2"/>
    </x:row>
    <x:row r="26" ht="23" customHeight="1">
      <x:c r="A26" s="2" t="str">
        <x:v>Desviación muestral, m/s</x:v>
      </x:c>
      <x:c r="B26" s="13" t="str">
        <x:f>IF(B22&lt;2,"",STDEV(C13:C17))</x:f>
      </x:c>
      <x:c r="C26" s="2"/>
      <x:c r="D26" s="2"/>
      <x:c r="E26" s="2"/>
      <x:c r="F26" s="2"/>
      <x:c r="G26" s="2"/>
      <x:c r="H26" s="2"/>
    </x:row>
    <x:row r="27" ht="23" customHeight="1">
      <x:c r="A27" s="2" t="str">
        <x:v>Coeficiente de variación</x:v>
      </x:c>
      <x:c r="B27" s="15" t="str">
        <x:f>IF(B22&lt;2,"",B26/B24)</x:f>
      </x:c>
      <x:c r="C27" s="2"/>
      <x:c r="D27" s="2"/>
      <x:c r="E27" s="2"/>
      <x:c r="F27" s="2"/>
      <x:c r="G27" s="2"/>
      <x:c r="H27" s="2"/>
    </x:row>
    <x:row r="28" ht="23" customHeight="1">
      <x:c r="A28" s="2" t="str">
        <x:v>Media de K estimadas, J</x:v>
      </x:c>
      <x:c r="B28" s="13" t="str">
        <x:f>IF(B22=0,"",AVERAGE(D13:D17))</x:f>
      </x:c>
      <x:c r="C28" s="2"/>
      <x:c r="D28" s="2"/>
      <x:c r="E28" s="2"/>
      <x:c r="F28" s="2"/>
      <x:c r="G28" s="2"/>
      <x:c r="H28" s="2"/>
    </x:row>
    <x:row r="29" ht="23" customHeight="1">
      <x:c r="A29" s="2" t="str">
        <x:v>K de la rapidez media, J</x:v>
      </x:c>
      <x:c r="B29" s="13" t="str">
        <x:f>IF(B22=0,"",0.5*$B$5*B24^2)</x:f>
      </x:c>
      <x:c r="C29" s="2"/>
      <x:c r="D29" s="2"/>
      <x:c r="E29" s="2"/>
      <x:c r="F29" s="2"/>
      <x:c r="G29" s="2"/>
      <x:c r="H29" s="2"/>
    </x:row>
    <x:row r="30" ht="23" customHeight="1">
      <x:c r="A30" s="2" t="str">
        <x:v>Diferencia entre ambas, J</x:v>
      </x:c>
      <x:c r="B30" s="13" t="str">
        <x:f>IF(B22=0,"",B28-B29)</x:f>
      </x:c>
      <x:c r="C30" s="2"/>
      <x:c r="D30" s="2"/>
      <x:c r="E30" s="2"/>
      <x:c r="F30" s="2"/>
      <x:c r="G30" s="2"/>
      <x:c r="H30" s="2"/>
    </x:row>
    <x:row r="31" ht="23" customHeight="1">
      <x:c r="A31" s="2" t="str">
        <x:v>Distancia total / tiempo, m/s</x:v>
      </x:c>
      <x:c r="B31" s="13" t="str">
        <x:f>IF(B22=0,"",$B$6*B22/SUMIFS(B13:B17,C13:C17,"&gt;0"))</x:f>
      </x:c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44" customHeight="1">
      <x:c r="A34" s="9" t="str">
        <x:v>Magnitud</x:v>
      </x:c>
      <x:c r="B34" s="9" t="str">
        <x:v>Instrumento</x:v>
      </x:c>
      <x:c r="C34" s="9" t="str">
        <x:v>Resolución</x:v>
      </x:c>
      <x:c r="D34" s="9" t="str">
        <x:v>Criterio de margen</x:v>
      </x:c>
      <x:c r="E34" s="2"/>
      <x:c r="F34" s="2"/>
      <x:c r="G34" s="2"/>
      <x:c r="H34" s="2"/>
    </x:row>
    <x:row r="35" ht="23" customHeight="1">
      <x:c r="A35" s="2" t="str">
        <x:v>Distancia</x:v>
      </x:c>
      <x:c r="B35" s="4"/>
      <x:c r="C35" s="4"/>
      <x:c r="D35" s="4"/>
      <x:c r="E35" s="2"/>
      <x:c r="F35" s="2"/>
      <x:c r="G35" s="2"/>
      <x:c r="H35" s="2"/>
    </x:row>
    <x:row r="36" ht="23" customHeight="1">
      <x:c r="A36" s="2" t="str">
        <x:v>Masa</x:v>
      </x:c>
      <x:c r="B36" s="4"/>
      <x:c r="C36" s="4"/>
      <x:c r="D36" s="4"/>
      <x:c r="E36" s="2"/>
      <x:c r="F36" s="2"/>
      <x:c r="G36" s="2"/>
      <x:c r="H36" s="2"/>
    </x:row>
    <x:row r="37" ht="23" customHeight="1">
      <x:c r="A37" s="2" t="str">
        <x:v>Tiempo</x:v>
      </x:c>
      <x:c r="B37" s="4"/>
      <x:c r="C37" s="4"/>
      <x:c r="D37" s="4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 t="str">
        <x:v>Procedimiento: https://profe.lemeit.ar/notes/fisica-4to/u4-energia/experiencia-energia-movimiento/</x:v>
      </x:c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743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Video: de posición a velocidad y energía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 t="str">
        <x:v>Pegá t, x, y en s y m. En movimiento horizontal, y puede ser 0.</x:v>
      </x:c>
      <x:c r="E4" s="2"/>
      <x:c r="F4" s="2"/>
      <x:c r="G4" s="2"/>
      <x:c r="H4" s="2"/>
    </x:row>
    <x:row r="5" ht="23" customHeight="1">
      <x:c r="A5" s="2" t="str">
        <x:v>Masa usada, kg</x:v>
      </x:c>
      <x:c r="B5" s="2" t="str">
        <x:f>IF(COUNT('Mediciones'!B5)=0,"",'Mediciones'!B5)</x:f>
      </x:c>
      <x:c r="C5" s="2"/>
      <x:c r="D5" s="2" t="str">
        <x:v>Diferencia central con cuadros consecutivos y tiempo uniforme.</x:v>
      </x:c>
      <x:c r="E5" s="2"/>
      <x:c r="F5" s="2"/>
      <x:c r="G5" s="2"/>
      <x:c r="H5" s="2"/>
    </x:row>
    <x:row r="6" ht="23" customHeight="1">
      <x:c r="A6" s="2"/>
      <x:c r="B6" s="2"/>
      <x:c r="C6" s="2"/>
      <x:c r="D6" s="2" t="str">
        <x:v>Los extremos no tienen derivada. No pegues encima de fórmulas.</x:v>
      </x:c>
      <x:c r="E6" s="2"/>
      <x:c r="F6" s="2"/>
      <x:c r="G6" s="2"/>
      <x:c r="H6" s="2"/>
    </x:row>
    <x:row r="7" ht="23" customHeight="1">
      <x:c r="A7" s="2" t="str">
        <x:v>Masa y escala deben corresponder al mismo participante y video.</x:v>
      </x:c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/>
      <x:c r="C8" s="2"/>
      <x:c r="D8" s="2"/>
      <x:c r="E8" s="2"/>
      <x:c r="F8" s="2"/>
      <x:c r="G8" s="2"/>
      <x:c r="H8" s="2"/>
    </x:row>
    <x:row r="9" ht="44" customHeight="1">
      <x:c r="A9" s="9" t="str">
        <x:v>Tiempo, s</x:v>
      </x:c>
      <x:c r="B9" s="9" t="str">
        <x:v>x, m</x:v>
      </x:c>
      <x:c r="C9" s="9" t="str">
        <x:v>y, m</x:v>
      </x:c>
      <x:c r="D9" s="9" t="str">
        <x:v>vx, m/s</x:v>
      </x:c>
      <x:c r="E9" s="9" t="str">
        <x:v>vy, m/s</x:v>
      </x:c>
      <x:c r="F9" s="9" t="str">
        <x:v>Rapidez, m/s</x:v>
      </x:c>
      <x:c r="G9" s="9" t="str">
        <x:v>K estimada, J</x:v>
      </x:c>
      <x:c r="H9" s="9" t="str">
        <x:v>Revisar</x:v>
      </x:c>
    </x:row>
    <x:row r="10" ht="23" customHeight="1">
      <x:c r="A10" s="16"/>
      <x:c r="B10" s="16"/>
      <x:c r="C10" s="16"/>
      <x:c r="D10" s="17"/>
      <x:c r="E10" s="17"/>
      <x:c r="F10" s="17"/>
      <x:c r="G10" s="17"/>
      <x:c r="H10" s="2"/>
    </x:row>
    <x:row r="11" ht="23" customHeight="1">
      <x:c r="A11" s="16"/>
      <x:c r="B11" s="16"/>
      <x:c r="C11" s="16"/>
      <x:c r="D11" s="17" t="str">
        <x:f>IF(OR(COUNT(A10:C12)&lt;9,A11&lt;=A10,A12&lt;=A11),"",(B12-B10)/(A12-A10))</x:f>
      </x:c>
      <x:c r="E11" s="17" t="str">
        <x:f>IF(OR(COUNT(A10:C12)&lt;9,A11&lt;=A10,A12&lt;=A11),"",(C12-C10)/(A12-A10))</x:f>
      </x:c>
      <x:c r="F11" s="17" t="str">
        <x:f>IF(COUNT(D11:E11)&lt;2,"",SQRT(D11^2+E11^2))</x:f>
      </x:c>
      <x:c r="G11" s="17" t="str">
        <x:f>IF(OR(COUNT(F11,$B$5)&lt;2,$B$5&lt;=0),"",0.5*$B$5*F11^2)</x:f>
      </x:c>
      <x:c r="H11" s="2" t="str">
        <x:f>IF(COUNT(A10:C12)&lt;9,"",IF(OR(A11&lt;=A10,A12&lt;=A11),"Tiempos no crecientes",IF(OR(COUNT($B$5)=0,$B$5&lt;=0),"Completar masa","")))</x:f>
      </x:c>
    </x:row>
    <x:row r="12" ht="23" customHeight="1">
      <x:c r="A12" s="16"/>
      <x:c r="B12" s="16"/>
      <x:c r="C12" s="16"/>
      <x:c r="D12" s="17" t="str">
        <x:f>IF(OR(COUNT(A11:C13)&lt;9,A12&lt;=A11,A13&lt;=A12),"",(B13-B11)/(A13-A11))</x:f>
      </x:c>
      <x:c r="E12" s="17" t="str">
        <x:f>IF(OR(COUNT(A11:C13)&lt;9,A12&lt;=A11,A13&lt;=A12),"",(C13-C11)/(A13-A11))</x:f>
      </x:c>
      <x:c r="F12" s="17" t="str">
        <x:f>IF(COUNT(D12:E12)&lt;2,"",SQRT(D12^2+E12^2))</x:f>
      </x:c>
      <x:c r="G12" s="17" t="str">
        <x:f>IF(OR(COUNT(F12,$B$5)&lt;2,$B$5&lt;=0),"",0.5*$B$5*F12^2)</x:f>
      </x:c>
      <x:c r="H12" s="2" t="str">
        <x:f>IF(COUNT(A11:C13)&lt;9,"",IF(OR(A12&lt;=A11,A13&lt;=A12),"Tiempos no crecientes",IF(OR(COUNT($B$5)=0,$B$5&lt;=0),"Completar masa","")))</x:f>
      </x:c>
    </x:row>
    <x:row r="13" ht="23" customHeight="1">
      <x:c r="A13" s="16"/>
      <x:c r="B13" s="16"/>
      <x:c r="C13" s="16"/>
      <x:c r="D13" s="17" t="str">
        <x:f>IF(OR(COUNT(A12:C14)&lt;9,A13&lt;=A12,A14&lt;=A13),"",(B14-B12)/(A14-A12))</x:f>
      </x:c>
      <x:c r="E13" s="17" t="str">
        <x:f>IF(OR(COUNT(A12:C14)&lt;9,A13&lt;=A12,A14&lt;=A13),"",(C14-C12)/(A14-A12))</x:f>
      </x:c>
      <x:c r="F13" s="17" t="str">
        <x:f>IF(COUNT(D13:E13)&lt;2,"",SQRT(D13^2+E13^2))</x:f>
      </x:c>
      <x:c r="G13" s="17" t="str">
        <x:f>IF(OR(COUNT(F13,$B$5)&lt;2,$B$5&lt;=0),"",0.5*$B$5*F13^2)</x:f>
      </x:c>
      <x:c r="H13" s="2" t="str">
        <x:f>IF(COUNT(A12:C14)&lt;9,"",IF(OR(A13&lt;=A12,A14&lt;=A13),"Tiempos no crecientes",IF(OR(COUNT($B$5)=0,$B$5&lt;=0),"Completar masa","")))</x:f>
      </x:c>
    </x:row>
    <x:row r="14" ht="23" customHeight="1">
      <x:c r="A14" s="16"/>
      <x:c r="B14" s="16"/>
      <x:c r="C14" s="16"/>
      <x:c r="D14" s="17" t="str">
        <x:f>IF(OR(COUNT(A13:C15)&lt;9,A14&lt;=A13,A15&lt;=A14),"",(B15-B13)/(A15-A13))</x:f>
      </x:c>
      <x:c r="E14" s="17" t="str">
        <x:f>IF(OR(COUNT(A13:C15)&lt;9,A14&lt;=A13,A15&lt;=A14),"",(C15-C13)/(A15-A13))</x:f>
      </x:c>
      <x:c r="F14" s="17" t="str">
        <x:f>IF(COUNT(D14:E14)&lt;2,"",SQRT(D14^2+E14^2))</x:f>
      </x:c>
      <x:c r="G14" s="17" t="str">
        <x:f>IF(OR(COUNT(F14,$B$5)&lt;2,$B$5&lt;=0),"",0.5*$B$5*F14^2)</x:f>
      </x:c>
      <x:c r="H14" s="2" t="str">
        <x:f>IF(COUNT(A13:C15)&lt;9,"",IF(OR(A14&lt;=A13,A15&lt;=A14),"Tiempos no crecientes",IF(OR(COUNT($B$5)=0,$B$5&lt;=0),"Completar masa","")))</x:f>
      </x:c>
    </x:row>
    <x:row r="15" ht="23" customHeight="1">
      <x:c r="A15" s="16"/>
      <x:c r="B15" s="16"/>
      <x:c r="C15" s="16"/>
      <x:c r="D15" s="17" t="str">
        <x:f>IF(OR(COUNT(A14:C16)&lt;9,A15&lt;=A14,A16&lt;=A15),"",(B16-B14)/(A16-A14))</x:f>
      </x:c>
      <x:c r="E15" s="17" t="str">
        <x:f>IF(OR(COUNT(A14:C16)&lt;9,A15&lt;=A14,A16&lt;=A15),"",(C16-C14)/(A16-A14))</x:f>
      </x:c>
      <x:c r="F15" s="17" t="str">
        <x:f>IF(COUNT(D15:E15)&lt;2,"",SQRT(D15^2+E15^2))</x:f>
      </x:c>
      <x:c r="G15" s="17" t="str">
        <x:f>IF(OR(COUNT(F15,$B$5)&lt;2,$B$5&lt;=0),"",0.5*$B$5*F15^2)</x:f>
      </x:c>
      <x:c r="H15" s="2" t="str">
        <x:f>IF(COUNT(A14:C16)&lt;9,"",IF(OR(A15&lt;=A14,A16&lt;=A15),"Tiempos no crecientes",IF(OR(COUNT($B$5)=0,$B$5&lt;=0),"Completar masa","")))</x:f>
      </x:c>
    </x:row>
    <x:row r="16" ht="23" customHeight="1">
      <x:c r="A16" s="16"/>
      <x:c r="B16" s="16"/>
      <x:c r="C16" s="16"/>
      <x:c r="D16" s="17" t="str">
        <x:f>IF(OR(COUNT(A15:C17)&lt;9,A16&lt;=A15,A17&lt;=A16),"",(B17-B15)/(A17-A15))</x:f>
      </x:c>
      <x:c r="E16" s="17" t="str">
        <x:f>IF(OR(COUNT(A15:C17)&lt;9,A16&lt;=A15,A17&lt;=A16),"",(C17-C15)/(A17-A15))</x:f>
      </x:c>
      <x:c r="F16" s="17" t="str">
        <x:f>IF(COUNT(D16:E16)&lt;2,"",SQRT(D16^2+E16^2))</x:f>
      </x:c>
      <x:c r="G16" s="17" t="str">
        <x:f>IF(OR(COUNT(F16,$B$5)&lt;2,$B$5&lt;=0),"",0.5*$B$5*F16^2)</x:f>
      </x:c>
      <x:c r="H16" s="2" t="str">
        <x:f>IF(COUNT(A15:C17)&lt;9,"",IF(OR(A16&lt;=A15,A17&lt;=A16),"Tiempos no crecientes",IF(OR(COUNT($B$5)=0,$B$5&lt;=0),"Completar masa","")))</x:f>
      </x:c>
    </x:row>
    <x:row r="17" ht="23" customHeight="1">
      <x:c r="A17" s="16"/>
      <x:c r="B17" s="16"/>
      <x:c r="C17" s="16"/>
      <x:c r="D17" s="17" t="str">
        <x:f>IF(OR(COUNT(A16:C18)&lt;9,A17&lt;=A16,A18&lt;=A17),"",(B18-B16)/(A18-A16))</x:f>
      </x:c>
      <x:c r="E17" s="17" t="str">
        <x:f>IF(OR(COUNT(A16:C18)&lt;9,A17&lt;=A16,A18&lt;=A17),"",(C18-C16)/(A18-A16))</x:f>
      </x:c>
      <x:c r="F17" s="17" t="str">
        <x:f>IF(COUNT(D17:E17)&lt;2,"",SQRT(D17^2+E17^2))</x:f>
      </x:c>
      <x:c r="G17" s="17" t="str">
        <x:f>IF(OR(COUNT(F17,$B$5)&lt;2,$B$5&lt;=0),"",0.5*$B$5*F17^2)</x:f>
      </x:c>
      <x:c r="H17" s="2" t="str">
        <x:f>IF(COUNT(A16:C18)&lt;9,"",IF(OR(A17&lt;=A16,A18&lt;=A17),"Tiempos no crecientes",IF(OR(COUNT($B$5)=0,$B$5&lt;=0),"Completar masa","")))</x:f>
      </x:c>
    </x:row>
    <x:row r="18" ht="23" customHeight="1">
      <x:c r="A18" s="16"/>
      <x:c r="B18" s="16"/>
      <x:c r="C18" s="16"/>
      <x:c r="D18" s="17" t="str">
        <x:f>IF(OR(COUNT(A17:C19)&lt;9,A18&lt;=A17,A19&lt;=A18),"",(B19-B17)/(A19-A17))</x:f>
      </x:c>
      <x:c r="E18" s="17" t="str">
        <x:f>IF(OR(COUNT(A17:C19)&lt;9,A18&lt;=A17,A19&lt;=A18),"",(C19-C17)/(A19-A17))</x:f>
      </x:c>
      <x:c r="F18" s="17" t="str">
        <x:f>IF(COUNT(D18:E18)&lt;2,"",SQRT(D18^2+E18^2))</x:f>
      </x:c>
      <x:c r="G18" s="17" t="str">
        <x:f>IF(OR(COUNT(F18,$B$5)&lt;2,$B$5&lt;=0),"",0.5*$B$5*F18^2)</x:f>
      </x:c>
      <x:c r="H18" s="2" t="str">
        <x:f>IF(COUNT(A17:C19)&lt;9,"",IF(OR(A18&lt;=A17,A19&lt;=A18),"Tiempos no crecientes",IF(OR(COUNT($B$5)=0,$B$5&lt;=0),"Completar masa","")))</x:f>
      </x:c>
    </x:row>
    <x:row r="19" ht="23" customHeight="1">
      <x:c r="A19" s="16"/>
      <x:c r="B19" s="16"/>
      <x:c r="C19" s="16"/>
      <x:c r="D19" s="17" t="str">
        <x:f>IF(OR(COUNT(A18:C20)&lt;9,A19&lt;=A18,A20&lt;=A19),"",(B20-B18)/(A20-A18))</x:f>
      </x:c>
      <x:c r="E19" s="17" t="str">
        <x:f>IF(OR(COUNT(A18:C20)&lt;9,A19&lt;=A18,A20&lt;=A19),"",(C20-C18)/(A20-A18))</x:f>
      </x:c>
      <x:c r="F19" s="17" t="str">
        <x:f>IF(COUNT(D19:E19)&lt;2,"",SQRT(D19^2+E19^2))</x:f>
      </x:c>
      <x:c r="G19" s="17" t="str">
        <x:f>IF(OR(COUNT(F19,$B$5)&lt;2,$B$5&lt;=0),"",0.5*$B$5*F19^2)</x:f>
      </x:c>
      <x:c r="H19" s="2" t="str">
        <x:f>IF(COUNT(A18:C20)&lt;9,"",IF(OR(A19&lt;=A18,A20&lt;=A19),"Tiempos no crecientes",IF(OR(COUNT($B$5)=0,$B$5&lt;=0),"Completar masa","")))</x:f>
      </x:c>
    </x:row>
    <x:row r="20" ht="23" customHeight="1">
      <x:c r="A20" s="16"/>
      <x:c r="B20" s="16"/>
      <x:c r="C20" s="16"/>
      <x:c r="D20" s="17" t="str">
        <x:f>IF(OR(COUNT(A19:C21)&lt;9,A20&lt;=A19,A21&lt;=A20),"",(B21-B19)/(A21-A19))</x:f>
      </x:c>
      <x:c r="E20" s="17" t="str">
        <x:f>IF(OR(COUNT(A19:C21)&lt;9,A20&lt;=A19,A21&lt;=A20),"",(C21-C19)/(A21-A19))</x:f>
      </x:c>
      <x:c r="F20" s="17" t="str">
        <x:f>IF(COUNT(D20:E20)&lt;2,"",SQRT(D20^2+E20^2))</x:f>
      </x:c>
      <x:c r="G20" s="17" t="str">
        <x:f>IF(OR(COUNT(F20,$B$5)&lt;2,$B$5&lt;=0),"",0.5*$B$5*F20^2)</x:f>
      </x:c>
      <x:c r="H20" s="2" t="str">
        <x:f>IF(COUNT(A19:C21)&lt;9,"",IF(OR(A20&lt;=A19,A21&lt;=A20),"Tiempos no crecientes",IF(OR(COUNT($B$5)=0,$B$5&lt;=0),"Completar masa","")))</x:f>
      </x:c>
    </x:row>
    <x:row r="21" ht="23" customHeight="1">
      <x:c r="A21" s="16"/>
      <x:c r="B21" s="16"/>
      <x:c r="C21" s="16"/>
      <x:c r="D21" s="17" t="str">
        <x:f>IF(OR(COUNT(A20:C22)&lt;9,A21&lt;=A20,A22&lt;=A21),"",(B22-B20)/(A22-A20))</x:f>
      </x:c>
      <x:c r="E21" s="17" t="str">
        <x:f>IF(OR(COUNT(A20:C22)&lt;9,A21&lt;=A20,A22&lt;=A21),"",(C22-C20)/(A22-A20))</x:f>
      </x:c>
      <x:c r="F21" s="17" t="str">
        <x:f>IF(COUNT(D21:E21)&lt;2,"",SQRT(D21^2+E21^2))</x:f>
      </x:c>
      <x:c r="G21" s="17" t="str">
        <x:f>IF(OR(COUNT(F21,$B$5)&lt;2,$B$5&lt;=0),"",0.5*$B$5*F21^2)</x:f>
      </x:c>
      <x:c r="H21" s="2" t="str">
        <x:f>IF(COUNT(A20:C22)&lt;9,"",IF(OR(A21&lt;=A20,A22&lt;=A21),"Tiempos no crecientes",IF(OR(COUNT($B$5)=0,$B$5&lt;=0),"Completar masa","")))</x:f>
      </x:c>
    </x:row>
    <x:row r="22" ht="23" customHeight="1">
      <x:c r="A22" s="16"/>
      <x:c r="B22" s="16"/>
      <x:c r="C22" s="16"/>
      <x:c r="D22" s="17" t="str">
        <x:f>IF(OR(COUNT(A21:C23)&lt;9,A22&lt;=A21,A23&lt;=A22),"",(B23-B21)/(A23-A21))</x:f>
      </x:c>
      <x:c r="E22" s="17" t="str">
        <x:f>IF(OR(COUNT(A21:C23)&lt;9,A22&lt;=A21,A23&lt;=A22),"",(C23-C21)/(A23-A21))</x:f>
      </x:c>
      <x:c r="F22" s="17" t="str">
        <x:f>IF(COUNT(D22:E22)&lt;2,"",SQRT(D22^2+E22^2))</x:f>
      </x:c>
      <x:c r="G22" s="17" t="str">
        <x:f>IF(OR(COUNT(F22,$B$5)&lt;2,$B$5&lt;=0),"",0.5*$B$5*F22^2)</x:f>
      </x:c>
      <x:c r="H22" s="2" t="str">
        <x:f>IF(COUNT(A21:C23)&lt;9,"",IF(OR(A22&lt;=A21,A23&lt;=A22),"Tiempos no crecientes",IF(OR(COUNT($B$5)=0,$B$5&lt;=0),"Completar masa","")))</x:f>
      </x:c>
    </x:row>
    <x:row r="23" ht="23" customHeight="1">
      <x:c r="A23" s="16"/>
      <x:c r="B23" s="16"/>
      <x:c r="C23" s="16"/>
      <x:c r="D23" s="17" t="str">
        <x:f>IF(OR(COUNT(A22:C24)&lt;9,A23&lt;=A22,A24&lt;=A23),"",(B24-B22)/(A24-A22))</x:f>
      </x:c>
      <x:c r="E23" s="17" t="str">
        <x:f>IF(OR(COUNT(A22:C24)&lt;9,A23&lt;=A22,A24&lt;=A23),"",(C24-C22)/(A24-A22))</x:f>
      </x:c>
      <x:c r="F23" s="17" t="str">
        <x:f>IF(COUNT(D23:E23)&lt;2,"",SQRT(D23^2+E23^2))</x:f>
      </x:c>
      <x:c r="G23" s="17" t="str">
        <x:f>IF(OR(COUNT(F23,$B$5)&lt;2,$B$5&lt;=0),"",0.5*$B$5*F23^2)</x:f>
      </x:c>
      <x:c r="H23" s="2" t="str">
        <x:f>IF(COUNT(A22:C24)&lt;9,"",IF(OR(A23&lt;=A22,A24&lt;=A23),"Tiempos no crecientes",IF(OR(COUNT($B$5)=0,$B$5&lt;=0),"Completar masa","")))</x:f>
      </x:c>
    </x:row>
    <x:row r="24" ht="23" customHeight="1">
      <x:c r="A24" s="16"/>
      <x:c r="B24" s="16"/>
      <x:c r="C24" s="16"/>
      <x:c r="D24" s="17" t="str">
        <x:f>IF(OR(COUNT(A23:C25)&lt;9,A24&lt;=A23,A25&lt;=A24),"",(B25-B23)/(A25-A23))</x:f>
      </x:c>
      <x:c r="E24" s="17" t="str">
        <x:f>IF(OR(COUNT(A23:C25)&lt;9,A24&lt;=A23,A25&lt;=A24),"",(C25-C23)/(A25-A23))</x:f>
      </x:c>
      <x:c r="F24" s="17" t="str">
        <x:f>IF(COUNT(D24:E24)&lt;2,"",SQRT(D24^2+E24^2))</x:f>
      </x:c>
      <x:c r="G24" s="17" t="str">
        <x:f>IF(OR(COUNT(F24,$B$5)&lt;2,$B$5&lt;=0),"",0.5*$B$5*F24^2)</x:f>
      </x:c>
      <x:c r="H24" s="2" t="str">
        <x:f>IF(COUNT(A23:C25)&lt;9,"",IF(OR(A24&lt;=A23,A25&lt;=A24),"Tiempos no crecientes",IF(OR(COUNT($B$5)=0,$B$5&lt;=0),"Completar masa","")))</x:f>
      </x:c>
    </x:row>
    <x:row r="25" ht="23" customHeight="1">
      <x:c r="A25" s="16"/>
      <x:c r="B25" s="16"/>
      <x:c r="C25" s="16"/>
      <x:c r="D25" s="17" t="str">
        <x:f>IF(OR(COUNT(A24:C26)&lt;9,A25&lt;=A24,A26&lt;=A25),"",(B26-B24)/(A26-A24))</x:f>
      </x:c>
      <x:c r="E25" s="17" t="str">
        <x:f>IF(OR(COUNT(A24:C26)&lt;9,A25&lt;=A24,A26&lt;=A25),"",(C26-C24)/(A26-A24))</x:f>
      </x:c>
      <x:c r="F25" s="17" t="str">
        <x:f>IF(COUNT(D25:E25)&lt;2,"",SQRT(D25^2+E25^2))</x:f>
      </x:c>
      <x:c r="G25" s="17" t="str">
        <x:f>IF(OR(COUNT(F25,$B$5)&lt;2,$B$5&lt;=0),"",0.5*$B$5*F25^2)</x:f>
      </x:c>
      <x:c r="H25" s="2" t="str">
        <x:f>IF(COUNT(A24:C26)&lt;9,"",IF(OR(A25&lt;=A24,A26&lt;=A25),"Tiempos no crecientes",IF(OR(COUNT($B$5)=0,$B$5&lt;=0),"Completar masa","")))</x:f>
      </x:c>
    </x:row>
    <x:row r="26" ht="23" customHeight="1">
      <x:c r="A26" s="16"/>
      <x:c r="B26" s="16"/>
      <x:c r="C26" s="16"/>
      <x:c r="D26" s="17" t="str">
        <x:f>IF(OR(COUNT(A25:C27)&lt;9,A26&lt;=A25,A27&lt;=A26),"",(B27-B25)/(A27-A25))</x:f>
      </x:c>
      <x:c r="E26" s="17" t="str">
        <x:f>IF(OR(COUNT(A25:C27)&lt;9,A26&lt;=A25,A27&lt;=A26),"",(C27-C25)/(A27-A25))</x:f>
      </x:c>
      <x:c r="F26" s="17" t="str">
        <x:f>IF(COUNT(D26:E26)&lt;2,"",SQRT(D26^2+E26^2))</x:f>
      </x:c>
      <x:c r="G26" s="17" t="str">
        <x:f>IF(OR(COUNT(F26,$B$5)&lt;2,$B$5&lt;=0),"",0.5*$B$5*F26^2)</x:f>
      </x:c>
      <x:c r="H26" s="2" t="str">
        <x:f>IF(COUNT(A25:C27)&lt;9,"",IF(OR(A26&lt;=A25,A27&lt;=A26),"Tiempos no crecientes",IF(OR(COUNT($B$5)=0,$B$5&lt;=0),"Completar masa","")))</x:f>
      </x:c>
    </x:row>
    <x:row r="27" ht="23" customHeight="1">
      <x:c r="A27" s="16"/>
      <x:c r="B27" s="16"/>
      <x:c r="C27" s="16"/>
      <x:c r="D27" s="17" t="str">
        <x:f>IF(OR(COUNT(A26:C28)&lt;9,A27&lt;=A26,A28&lt;=A27),"",(B28-B26)/(A28-A26))</x:f>
      </x:c>
      <x:c r="E27" s="17" t="str">
        <x:f>IF(OR(COUNT(A26:C28)&lt;9,A27&lt;=A26,A28&lt;=A27),"",(C28-C26)/(A28-A26))</x:f>
      </x:c>
      <x:c r="F27" s="17" t="str">
        <x:f>IF(COUNT(D27:E27)&lt;2,"",SQRT(D27^2+E27^2))</x:f>
      </x:c>
      <x:c r="G27" s="17" t="str">
        <x:f>IF(OR(COUNT(F27,$B$5)&lt;2,$B$5&lt;=0),"",0.5*$B$5*F27^2)</x:f>
      </x:c>
      <x:c r="H27" s="2" t="str">
        <x:f>IF(COUNT(A26:C28)&lt;9,"",IF(OR(A27&lt;=A26,A28&lt;=A27),"Tiempos no crecientes",IF(OR(COUNT($B$5)=0,$B$5&lt;=0),"Completar masa","")))</x:f>
      </x:c>
    </x:row>
    <x:row r="28" ht="23" customHeight="1">
      <x:c r="A28" s="16"/>
      <x:c r="B28" s="16"/>
      <x:c r="C28" s="16"/>
      <x:c r="D28" s="17" t="str">
        <x:f>IF(OR(COUNT(A27:C29)&lt;9,A28&lt;=A27,A29&lt;=A28),"",(B29-B27)/(A29-A27))</x:f>
      </x:c>
      <x:c r="E28" s="17" t="str">
        <x:f>IF(OR(COUNT(A27:C29)&lt;9,A28&lt;=A27,A29&lt;=A28),"",(C29-C27)/(A29-A27))</x:f>
      </x:c>
      <x:c r="F28" s="17" t="str">
        <x:f>IF(COUNT(D28:E28)&lt;2,"",SQRT(D28^2+E28^2))</x:f>
      </x:c>
      <x:c r="G28" s="17" t="str">
        <x:f>IF(OR(COUNT(F28,$B$5)&lt;2,$B$5&lt;=0),"",0.5*$B$5*F28^2)</x:f>
      </x:c>
      <x:c r="H28" s="2" t="str">
        <x:f>IF(COUNT(A27:C29)&lt;9,"",IF(OR(A28&lt;=A27,A29&lt;=A28),"Tiempos no crecientes",IF(OR(COUNT($B$5)=0,$B$5&lt;=0),"Completar masa","")))</x:f>
      </x:c>
    </x:row>
    <x:row r="29" ht="23" customHeight="1">
      <x:c r="A29" s="16"/>
      <x:c r="B29" s="16"/>
      <x:c r="C29" s="16"/>
      <x:c r="D29" s="17" t="str">
        <x:f>IF(OR(COUNT(A28:C30)&lt;9,A29&lt;=A28,A30&lt;=A29),"",(B30-B28)/(A30-A28))</x:f>
      </x:c>
      <x:c r="E29" s="17" t="str">
        <x:f>IF(OR(COUNT(A28:C30)&lt;9,A29&lt;=A28,A30&lt;=A29),"",(C30-C28)/(A30-A28))</x:f>
      </x:c>
      <x:c r="F29" s="17" t="str">
        <x:f>IF(COUNT(D29:E29)&lt;2,"",SQRT(D29^2+E29^2))</x:f>
      </x:c>
      <x:c r="G29" s="17" t="str">
        <x:f>IF(OR(COUNT(F29,$B$5)&lt;2,$B$5&lt;=0),"",0.5*$B$5*F29^2)</x:f>
      </x:c>
      <x:c r="H29" s="2" t="str">
        <x:f>IF(COUNT(A28:C30)&lt;9,"",IF(OR(A29&lt;=A28,A30&lt;=A29),"Tiempos no crecientes",IF(OR(COUNT($B$5)=0,$B$5&lt;=0),"Completar masa","")))</x:f>
      </x:c>
    </x:row>
    <x:row r="30" ht="23" customHeight="1">
      <x:c r="A30" s="16"/>
      <x:c r="B30" s="16"/>
      <x:c r="C30" s="16"/>
      <x:c r="D30" s="17" t="str">
        <x:f>IF(OR(COUNT(A29:C31)&lt;9,A30&lt;=A29,A31&lt;=A30),"",(B31-B29)/(A31-A29))</x:f>
      </x:c>
      <x:c r="E30" s="17" t="str">
        <x:f>IF(OR(COUNT(A29:C31)&lt;9,A30&lt;=A29,A31&lt;=A30),"",(C31-C29)/(A31-A29))</x:f>
      </x:c>
      <x:c r="F30" s="17" t="str">
        <x:f>IF(COUNT(D30:E30)&lt;2,"",SQRT(D30^2+E30^2))</x:f>
      </x:c>
      <x:c r="G30" s="17" t="str">
        <x:f>IF(OR(COUNT(F30,$B$5)&lt;2,$B$5&lt;=0),"",0.5*$B$5*F30^2)</x:f>
      </x:c>
      <x:c r="H30" s="2" t="str">
        <x:f>IF(COUNT(A29:C31)&lt;9,"",IF(OR(A30&lt;=A29,A31&lt;=A30),"Tiempos no crecientes",IF(OR(COUNT($B$5)=0,$B$5&lt;=0),"Completar masa","")))</x:f>
      </x:c>
    </x:row>
    <x:row r="31" ht="23" customHeight="1">
      <x:c r="A31" s="16"/>
      <x:c r="B31" s="16"/>
      <x:c r="C31" s="16"/>
      <x:c r="D31" s="17" t="str">
        <x:f>IF(OR(COUNT(A30:C32)&lt;9,A31&lt;=A30,A32&lt;=A31),"",(B32-B30)/(A32-A30))</x:f>
      </x:c>
      <x:c r="E31" s="17" t="str">
        <x:f>IF(OR(COUNT(A30:C32)&lt;9,A31&lt;=A30,A32&lt;=A31),"",(C32-C30)/(A32-A30))</x:f>
      </x:c>
      <x:c r="F31" s="17" t="str">
        <x:f>IF(COUNT(D31:E31)&lt;2,"",SQRT(D31^2+E31^2))</x:f>
      </x:c>
      <x:c r="G31" s="17" t="str">
        <x:f>IF(OR(COUNT(F31,$B$5)&lt;2,$B$5&lt;=0),"",0.5*$B$5*F31^2)</x:f>
      </x:c>
      <x:c r="H31" s="2" t="str">
        <x:f>IF(COUNT(A30:C32)&lt;9,"",IF(OR(A31&lt;=A30,A32&lt;=A31),"Tiempos no crecientes",IF(OR(COUNT($B$5)=0,$B$5&lt;=0),"Completar masa","")))</x:f>
      </x:c>
    </x:row>
    <x:row r="32" ht="23" customHeight="1">
      <x:c r="A32" s="16"/>
      <x:c r="B32" s="16"/>
      <x:c r="C32" s="16"/>
      <x:c r="D32" s="17" t="str">
        <x:f>IF(OR(COUNT(A31:C33)&lt;9,A32&lt;=A31,A33&lt;=A32),"",(B33-B31)/(A33-A31))</x:f>
      </x:c>
      <x:c r="E32" s="17" t="str">
        <x:f>IF(OR(COUNT(A31:C33)&lt;9,A32&lt;=A31,A33&lt;=A32),"",(C33-C31)/(A33-A31))</x:f>
      </x:c>
      <x:c r="F32" s="17" t="str">
        <x:f>IF(COUNT(D32:E32)&lt;2,"",SQRT(D32^2+E32^2))</x:f>
      </x:c>
      <x:c r="G32" s="17" t="str">
        <x:f>IF(OR(COUNT(F32,$B$5)&lt;2,$B$5&lt;=0),"",0.5*$B$5*F32^2)</x:f>
      </x:c>
      <x:c r="H32" s="2" t="str">
        <x:f>IF(COUNT(A31:C33)&lt;9,"",IF(OR(A32&lt;=A31,A33&lt;=A32),"Tiempos no crecientes",IF(OR(COUNT($B$5)=0,$B$5&lt;=0),"Completar masa","")))</x:f>
      </x:c>
    </x:row>
    <x:row r="33" ht="23" customHeight="1">
      <x:c r="A33" s="16"/>
      <x:c r="B33" s="16"/>
      <x:c r="C33" s="16"/>
      <x:c r="D33" s="17" t="str">
        <x:f>IF(OR(COUNT(A32:C34)&lt;9,A33&lt;=A32,A34&lt;=A33),"",(B34-B32)/(A34-A32))</x:f>
      </x:c>
      <x:c r="E33" s="17" t="str">
        <x:f>IF(OR(COUNT(A32:C34)&lt;9,A33&lt;=A32,A34&lt;=A33),"",(C34-C32)/(A34-A32))</x:f>
      </x:c>
      <x:c r="F33" s="17" t="str">
        <x:f>IF(COUNT(D33:E33)&lt;2,"",SQRT(D33^2+E33^2))</x:f>
      </x:c>
      <x:c r="G33" s="17" t="str">
        <x:f>IF(OR(COUNT(F33,$B$5)&lt;2,$B$5&lt;=0),"",0.5*$B$5*F33^2)</x:f>
      </x:c>
      <x:c r="H33" s="2" t="str">
        <x:f>IF(COUNT(A32:C34)&lt;9,"",IF(OR(A33&lt;=A32,A34&lt;=A33),"Tiempos no crecientes",IF(OR(COUNT($B$5)=0,$B$5&lt;=0),"Completar masa","")))</x:f>
      </x:c>
    </x:row>
    <x:row r="34" ht="23" customHeight="1">
      <x:c r="A34" s="16"/>
      <x:c r="B34" s="16"/>
      <x:c r="C34" s="16"/>
      <x:c r="D34" s="17" t="str">
        <x:f>IF(OR(COUNT(A33:C35)&lt;9,A34&lt;=A33,A35&lt;=A34),"",(B35-B33)/(A35-A33))</x:f>
      </x:c>
      <x:c r="E34" s="17" t="str">
        <x:f>IF(OR(COUNT(A33:C35)&lt;9,A34&lt;=A33,A35&lt;=A34),"",(C35-C33)/(A35-A33))</x:f>
      </x:c>
      <x:c r="F34" s="17" t="str">
        <x:f>IF(COUNT(D34:E34)&lt;2,"",SQRT(D34^2+E34^2))</x:f>
      </x:c>
      <x:c r="G34" s="17" t="str">
        <x:f>IF(OR(COUNT(F34,$B$5)&lt;2,$B$5&lt;=0),"",0.5*$B$5*F34^2)</x:f>
      </x:c>
      <x:c r="H34" s="2" t="str">
        <x:f>IF(COUNT(A33:C35)&lt;9,"",IF(OR(A34&lt;=A33,A35&lt;=A34),"Tiempos no crecientes",IF(OR(COUNT($B$5)=0,$B$5&lt;=0),"Completar masa","")))</x:f>
      </x:c>
    </x:row>
    <x:row r="35" ht="23" customHeight="1">
      <x:c r="A35" s="16"/>
      <x:c r="B35" s="16"/>
      <x:c r="C35" s="16"/>
      <x:c r="D35" s="17" t="str">
        <x:f>IF(OR(COUNT(A34:C36)&lt;9,A35&lt;=A34,A36&lt;=A35),"",(B36-B34)/(A36-A34))</x:f>
      </x:c>
      <x:c r="E35" s="17" t="str">
        <x:f>IF(OR(COUNT(A34:C36)&lt;9,A35&lt;=A34,A36&lt;=A35),"",(C36-C34)/(A36-A34))</x:f>
      </x:c>
      <x:c r="F35" s="17" t="str">
        <x:f>IF(COUNT(D35:E35)&lt;2,"",SQRT(D35^2+E35^2))</x:f>
      </x:c>
      <x:c r="G35" s="17" t="str">
        <x:f>IF(OR(COUNT(F35,$B$5)&lt;2,$B$5&lt;=0),"",0.5*$B$5*F35^2)</x:f>
      </x:c>
      <x:c r="H35" s="2" t="str">
        <x:f>IF(COUNT(A34:C36)&lt;9,"",IF(OR(A35&lt;=A34,A36&lt;=A35),"Tiempos no crecientes",IF(OR(COUNT($B$5)=0,$B$5&lt;=0),"Completar masa","")))</x:f>
      </x:c>
    </x:row>
    <x:row r="36" ht="23" customHeight="1">
      <x:c r="A36" s="16"/>
      <x:c r="B36" s="16"/>
      <x:c r="C36" s="16"/>
      <x:c r="D36" s="17" t="str">
        <x:f>IF(OR(COUNT(A35:C37)&lt;9,A36&lt;=A35,A37&lt;=A36),"",(B37-B35)/(A37-A35))</x:f>
      </x:c>
      <x:c r="E36" s="17" t="str">
        <x:f>IF(OR(COUNT(A35:C37)&lt;9,A36&lt;=A35,A37&lt;=A36),"",(C37-C35)/(A37-A35))</x:f>
      </x:c>
      <x:c r="F36" s="17" t="str">
        <x:f>IF(COUNT(D36:E36)&lt;2,"",SQRT(D36^2+E36^2))</x:f>
      </x:c>
      <x:c r="G36" s="17" t="str">
        <x:f>IF(OR(COUNT(F36,$B$5)&lt;2,$B$5&lt;=0),"",0.5*$B$5*F36^2)</x:f>
      </x:c>
      <x:c r="H36" s="2" t="str">
        <x:f>IF(COUNT(A35:C37)&lt;9,"",IF(OR(A36&lt;=A35,A37&lt;=A36),"Tiempos no crecientes",IF(OR(COUNT($B$5)=0,$B$5&lt;=0),"Completar masa","")))</x:f>
      </x:c>
    </x:row>
    <x:row r="37" ht="23" customHeight="1">
      <x:c r="A37" s="16"/>
      <x:c r="B37" s="16"/>
      <x:c r="C37" s="16"/>
      <x:c r="D37" s="17" t="str">
        <x:f>IF(OR(COUNT(A36:C38)&lt;9,A37&lt;=A36,A38&lt;=A37),"",(B38-B36)/(A38-A36))</x:f>
      </x:c>
      <x:c r="E37" s="17" t="str">
        <x:f>IF(OR(COUNT(A36:C38)&lt;9,A37&lt;=A36,A38&lt;=A37),"",(C38-C36)/(A38-A36))</x:f>
      </x:c>
      <x:c r="F37" s="17" t="str">
        <x:f>IF(COUNT(D37:E37)&lt;2,"",SQRT(D37^2+E37^2))</x:f>
      </x:c>
      <x:c r="G37" s="17" t="str">
        <x:f>IF(OR(COUNT(F37,$B$5)&lt;2,$B$5&lt;=0),"",0.5*$B$5*F37^2)</x:f>
      </x:c>
      <x:c r="H37" s="2" t="str">
        <x:f>IF(COUNT(A36:C38)&lt;9,"",IF(OR(A37&lt;=A36,A38&lt;=A37),"Tiempos no crecientes",IF(OR(COUNT($B$5)=0,$B$5&lt;=0),"Completar masa","")))</x:f>
      </x:c>
    </x:row>
    <x:row r="38" ht="23" customHeight="1">
      <x:c r="A38" s="16"/>
      <x:c r="B38" s="16"/>
      <x:c r="C38" s="16"/>
      <x:c r="D38" s="17" t="str">
        <x:f>IF(OR(COUNT(A37:C39)&lt;9,A38&lt;=A37,A39&lt;=A38),"",(B39-B37)/(A39-A37))</x:f>
      </x:c>
      <x:c r="E38" s="17" t="str">
        <x:f>IF(OR(COUNT(A37:C39)&lt;9,A38&lt;=A37,A39&lt;=A38),"",(C39-C37)/(A39-A37))</x:f>
      </x:c>
      <x:c r="F38" s="17" t="str">
        <x:f>IF(COUNT(D38:E38)&lt;2,"",SQRT(D38^2+E38^2))</x:f>
      </x:c>
      <x:c r="G38" s="17" t="str">
        <x:f>IF(OR(COUNT(F38,$B$5)&lt;2,$B$5&lt;=0),"",0.5*$B$5*F38^2)</x:f>
      </x:c>
      <x:c r="H38" s="2" t="str">
        <x:f>IF(COUNT(A37:C39)&lt;9,"",IF(OR(A38&lt;=A37,A39&lt;=A38),"Tiempos no crecientes",IF(OR(COUNT($B$5)=0,$B$5&lt;=0),"Completar masa","")))</x:f>
      </x:c>
    </x:row>
    <x:row r="39" ht="23" customHeight="1">
      <x:c r="A39" s="16"/>
      <x:c r="B39" s="16"/>
      <x:c r="C39" s="16"/>
      <x:c r="D39" s="17" t="str">
        <x:f>IF(OR(COUNT(A38:C40)&lt;9,A39&lt;=A38,A40&lt;=A39),"",(B40-B38)/(A40-A38))</x:f>
      </x:c>
      <x:c r="E39" s="17" t="str">
        <x:f>IF(OR(COUNT(A38:C40)&lt;9,A39&lt;=A38,A40&lt;=A39),"",(C40-C38)/(A40-A38))</x:f>
      </x:c>
      <x:c r="F39" s="17" t="str">
        <x:f>IF(COUNT(D39:E39)&lt;2,"",SQRT(D39^2+E39^2))</x:f>
      </x:c>
      <x:c r="G39" s="17" t="str">
        <x:f>IF(OR(COUNT(F39,$B$5)&lt;2,$B$5&lt;=0),"",0.5*$B$5*F39^2)</x:f>
      </x:c>
      <x:c r="H39" s="2" t="str">
        <x:f>IF(COUNT(A38:C40)&lt;9,"",IF(OR(A39&lt;=A38,A40&lt;=A39),"Tiempos no crecientes",IF(OR(COUNT($B$5)=0,$B$5&lt;=0),"Completar masa","")))</x:f>
      </x:c>
    </x:row>
    <x:row r="40" ht="23" customHeight="1">
      <x:c r="A40" s="16"/>
      <x:c r="B40" s="16"/>
      <x:c r="C40" s="16"/>
      <x:c r="D40" s="17" t="str">
        <x:f>IF(OR(COUNT(A39:C41)&lt;9,A40&lt;=A39,A41&lt;=A40),"",(B41-B39)/(A41-A39))</x:f>
      </x:c>
      <x:c r="E40" s="17" t="str">
        <x:f>IF(OR(COUNT(A39:C41)&lt;9,A40&lt;=A39,A41&lt;=A40),"",(C41-C39)/(A41-A39))</x:f>
      </x:c>
      <x:c r="F40" s="17" t="str">
        <x:f>IF(COUNT(D40:E40)&lt;2,"",SQRT(D40^2+E40^2))</x:f>
      </x:c>
      <x:c r="G40" s="17" t="str">
        <x:f>IF(OR(COUNT(F40,$B$5)&lt;2,$B$5&lt;=0),"",0.5*$B$5*F40^2)</x:f>
      </x:c>
      <x:c r="H40" s="2" t="str">
        <x:f>IF(COUNT(A39:C41)&lt;9,"",IF(OR(A40&lt;=A39,A41&lt;=A40),"Tiempos no crecientes",IF(OR(COUNT($B$5)=0,$B$5&lt;=0),"Completar masa","")))</x:f>
      </x:c>
    </x:row>
    <x:row r="41" ht="23" customHeight="1">
      <x:c r="A41" s="16"/>
      <x:c r="B41" s="16"/>
      <x:c r="C41" s="16"/>
      <x:c r="D41" s="17" t="str">
        <x:f>IF(OR(COUNT(A40:C42)&lt;9,A41&lt;=A40,A42&lt;=A41),"",(B42-B40)/(A42-A40))</x:f>
      </x:c>
      <x:c r="E41" s="17" t="str">
        <x:f>IF(OR(COUNT(A40:C42)&lt;9,A41&lt;=A40,A42&lt;=A41),"",(C42-C40)/(A42-A40))</x:f>
      </x:c>
      <x:c r="F41" s="17" t="str">
        <x:f>IF(COUNT(D41:E41)&lt;2,"",SQRT(D41^2+E41^2))</x:f>
      </x:c>
      <x:c r="G41" s="17" t="str">
        <x:f>IF(OR(COUNT(F41,$B$5)&lt;2,$B$5&lt;=0),"",0.5*$B$5*F41^2)</x:f>
      </x:c>
      <x:c r="H41" s="2" t="str">
        <x:f>IF(COUNT(A40:C42)&lt;9,"",IF(OR(A41&lt;=A40,A42&lt;=A41),"Tiempos no crecientes",IF(OR(COUNT($B$5)=0,$B$5&lt;=0),"Completar masa","")))</x:f>
      </x:c>
    </x:row>
    <x:row r="42" ht="23" customHeight="1">
      <x:c r="A42" s="16"/>
      <x:c r="B42" s="16"/>
      <x:c r="C42" s="16"/>
      <x:c r="D42" s="17" t="str">
        <x:f>IF(OR(COUNT(A41:C43)&lt;9,A42&lt;=A41,A43&lt;=A42),"",(B43-B41)/(A43-A41))</x:f>
      </x:c>
      <x:c r="E42" s="17" t="str">
        <x:f>IF(OR(COUNT(A41:C43)&lt;9,A42&lt;=A41,A43&lt;=A42),"",(C43-C41)/(A43-A41))</x:f>
      </x:c>
      <x:c r="F42" s="17" t="str">
        <x:f>IF(COUNT(D42:E42)&lt;2,"",SQRT(D42^2+E42^2))</x:f>
      </x:c>
      <x:c r="G42" s="17" t="str">
        <x:f>IF(OR(COUNT(F42,$B$5)&lt;2,$B$5&lt;=0),"",0.5*$B$5*F42^2)</x:f>
      </x:c>
      <x:c r="H42" s="2" t="str">
        <x:f>IF(COUNT(A41:C43)&lt;9,"",IF(OR(A42&lt;=A41,A43&lt;=A42),"Tiempos no crecientes",IF(OR(COUNT($B$5)=0,$B$5&lt;=0),"Completar masa","")))</x:f>
      </x:c>
    </x:row>
    <x:row r="43" ht="23" customHeight="1">
      <x:c r="A43" s="16"/>
      <x:c r="B43" s="16"/>
      <x:c r="C43" s="16"/>
      <x:c r="D43" s="17" t="str">
        <x:f>IF(OR(COUNT(A42:C44)&lt;9,A43&lt;=A42,A44&lt;=A43),"",(B44-B42)/(A44-A42))</x:f>
      </x:c>
      <x:c r="E43" s="17" t="str">
        <x:f>IF(OR(COUNT(A42:C44)&lt;9,A43&lt;=A42,A44&lt;=A43),"",(C44-C42)/(A44-A42))</x:f>
      </x:c>
      <x:c r="F43" s="17" t="str">
        <x:f>IF(COUNT(D43:E43)&lt;2,"",SQRT(D43^2+E43^2))</x:f>
      </x:c>
      <x:c r="G43" s="17" t="str">
        <x:f>IF(OR(COUNT(F43,$B$5)&lt;2,$B$5&lt;=0),"",0.5*$B$5*F43^2)</x:f>
      </x:c>
      <x:c r="H43" s="2" t="str">
        <x:f>IF(COUNT(A42:C44)&lt;9,"",IF(OR(A43&lt;=A42,A44&lt;=A43),"Tiempos no crecientes",IF(OR(COUNT($B$5)=0,$B$5&lt;=0),"Completar masa","")))</x:f>
      </x:c>
    </x:row>
    <x:row r="44" ht="23" customHeight="1">
      <x:c r="A44" s="16"/>
      <x:c r="B44" s="16"/>
      <x:c r="C44" s="16"/>
      <x:c r="D44" s="17" t="str">
        <x:f>IF(OR(COUNT(A43:C45)&lt;9,A44&lt;=A43,A45&lt;=A44),"",(B45-B43)/(A45-A43))</x:f>
      </x:c>
      <x:c r="E44" s="17" t="str">
        <x:f>IF(OR(COUNT(A43:C45)&lt;9,A44&lt;=A43,A45&lt;=A44),"",(C45-C43)/(A45-A43))</x:f>
      </x:c>
      <x:c r="F44" s="17" t="str">
        <x:f>IF(COUNT(D44:E44)&lt;2,"",SQRT(D44^2+E44^2))</x:f>
      </x:c>
      <x:c r="G44" s="17" t="str">
        <x:f>IF(OR(COUNT(F44,$B$5)&lt;2,$B$5&lt;=0),"",0.5*$B$5*F44^2)</x:f>
      </x:c>
      <x:c r="H44" s="2" t="str">
        <x:f>IF(COUNT(A43:C45)&lt;9,"",IF(OR(A44&lt;=A43,A45&lt;=A44),"Tiempos no crecientes",IF(OR(COUNT($B$5)=0,$B$5&lt;=0),"Completar masa","")))</x:f>
      </x:c>
    </x:row>
    <x:row r="45" ht="23" customHeight="1">
      <x:c r="A45" s="16"/>
      <x:c r="B45" s="16"/>
      <x:c r="C45" s="16"/>
      <x:c r="D45" s="17" t="str">
        <x:f>IF(OR(COUNT(A44:C46)&lt;9,A45&lt;=A44,A46&lt;=A45),"",(B46-B44)/(A46-A44))</x:f>
      </x:c>
      <x:c r="E45" s="17" t="str">
        <x:f>IF(OR(COUNT(A44:C46)&lt;9,A45&lt;=A44,A46&lt;=A45),"",(C46-C44)/(A46-A44))</x:f>
      </x:c>
      <x:c r="F45" s="17" t="str">
        <x:f>IF(COUNT(D45:E45)&lt;2,"",SQRT(D45^2+E45^2))</x:f>
      </x:c>
      <x:c r="G45" s="17" t="str">
        <x:f>IF(OR(COUNT(F45,$B$5)&lt;2,$B$5&lt;=0),"",0.5*$B$5*F45^2)</x:f>
      </x:c>
      <x:c r="H45" s="2" t="str">
        <x:f>IF(COUNT(A44:C46)&lt;9,"",IF(OR(A45&lt;=A44,A46&lt;=A45),"Tiempos no crecientes",IF(OR(COUNT($B$5)=0,$B$5&lt;=0),"Completar masa","")))</x:f>
      </x:c>
    </x:row>
    <x:row r="46" ht="23" customHeight="1">
      <x:c r="A46" s="16"/>
      <x:c r="B46" s="16"/>
      <x:c r="C46" s="16"/>
      <x:c r="D46" s="17" t="str">
        <x:f>IF(OR(COUNT(A45:C47)&lt;9,A46&lt;=A45,A47&lt;=A46),"",(B47-B45)/(A47-A45))</x:f>
      </x:c>
      <x:c r="E46" s="17" t="str">
        <x:f>IF(OR(COUNT(A45:C47)&lt;9,A46&lt;=A45,A47&lt;=A46),"",(C47-C45)/(A47-A45))</x:f>
      </x:c>
      <x:c r="F46" s="17" t="str">
        <x:f>IF(COUNT(D46:E46)&lt;2,"",SQRT(D46^2+E46^2))</x:f>
      </x:c>
      <x:c r="G46" s="17" t="str">
        <x:f>IF(OR(COUNT(F46,$B$5)&lt;2,$B$5&lt;=0),"",0.5*$B$5*F46^2)</x:f>
      </x:c>
      <x:c r="H46" s="2" t="str">
        <x:f>IF(COUNT(A45:C47)&lt;9,"",IF(OR(A46&lt;=A45,A47&lt;=A46),"Tiempos no crecientes",IF(OR(COUNT($B$5)=0,$B$5&lt;=0),"Completar masa","")))</x:f>
      </x:c>
    </x:row>
    <x:row r="47" ht="23" customHeight="1">
      <x:c r="A47" s="16"/>
      <x:c r="B47" s="16"/>
      <x:c r="C47" s="16"/>
      <x:c r="D47" s="17" t="str">
        <x:f>IF(OR(COUNT(A46:C48)&lt;9,A47&lt;=A46,A48&lt;=A47),"",(B48-B46)/(A48-A46))</x:f>
      </x:c>
      <x:c r="E47" s="17" t="str">
        <x:f>IF(OR(COUNT(A46:C48)&lt;9,A47&lt;=A46,A48&lt;=A47),"",(C48-C46)/(A48-A46))</x:f>
      </x:c>
      <x:c r="F47" s="17" t="str">
        <x:f>IF(COUNT(D47:E47)&lt;2,"",SQRT(D47^2+E47^2))</x:f>
      </x:c>
      <x:c r="G47" s="17" t="str">
        <x:f>IF(OR(COUNT(F47,$B$5)&lt;2,$B$5&lt;=0),"",0.5*$B$5*F47^2)</x:f>
      </x:c>
      <x:c r="H47" s="2" t="str">
        <x:f>IF(COUNT(A46:C48)&lt;9,"",IF(OR(A47&lt;=A46,A48&lt;=A47),"Tiempos no crecientes",IF(OR(COUNT($B$5)=0,$B$5&lt;=0),"Completar masa","")))</x:f>
      </x:c>
    </x:row>
    <x:row r="48" ht="23" customHeight="1">
      <x:c r="A48" s="16"/>
      <x:c r="B48" s="16"/>
      <x:c r="C48" s="16"/>
      <x:c r="D48" s="17" t="str">
        <x:f>IF(OR(COUNT(A47:C49)&lt;9,A48&lt;=A47,A49&lt;=A48),"",(B49-B47)/(A49-A47))</x:f>
      </x:c>
      <x:c r="E48" s="17" t="str">
        <x:f>IF(OR(COUNT(A47:C49)&lt;9,A48&lt;=A47,A49&lt;=A48),"",(C49-C47)/(A49-A47))</x:f>
      </x:c>
      <x:c r="F48" s="17" t="str">
        <x:f>IF(COUNT(D48:E48)&lt;2,"",SQRT(D48^2+E48^2))</x:f>
      </x:c>
      <x:c r="G48" s="17" t="str">
        <x:f>IF(OR(COUNT(F48,$B$5)&lt;2,$B$5&lt;=0),"",0.5*$B$5*F48^2)</x:f>
      </x:c>
      <x:c r="H48" s="2" t="str">
        <x:f>IF(COUNT(A47:C49)&lt;9,"",IF(OR(A48&lt;=A47,A49&lt;=A48),"Tiempos no crecientes",IF(OR(COUNT($B$5)=0,$B$5&lt;=0),"Completar masa","")))</x:f>
      </x:c>
    </x:row>
    <x:row r="49" ht="23" customHeight="1">
      <x:c r="A49" s="16"/>
      <x:c r="B49" s="16"/>
      <x:c r="C49" s="16"/>
      <x:c r="D49" s="17" t="str">
        <x:f>IF(OR(COUNT(A48:C50)&lt;9,A49&lt;=A48,A50&lt;=A49),"",(B50-B48)/(A50-A48))</x:f>
      </x:c>
      <x:c r="E49" s="17" t="str">
        <x:f>IF(OR(COUNT(A48:C50)&lt;9,A49&lt;=A48,A50&lt;=A49),"",(C50-C48)/(A50-A48))</x:f>
      </x:c>
      <x:c r="F49" s="17" t="str">
        <x:f>IF(COUNT(D49:E49)&lt;2,"",SQRT(D49^2+E49^2))</x:f>
      </x:c>
      <x:c r="G49" s="17" t="str">
        <x:f>IF(OR(COUNT(F49,$B$5)&lt;2,$B$5&lt;=0),"",0.5*$B$5*F49^2)</x:f>
      </x:c>
      <x:c r="H49" s="2" t="str">
        <x:f>IF(COUNT(A48:C50)&lt;9,"",IF(OR(A49&lt;=A48,A50&lt;=A49),"Tiempos no crecientes",IF(OR(COUNT($B$5)=0,$B$5&lt;=0),"Completar masa","")))</x:f>
      </x:c>
    </x:row>
    <x:row r="50" ht="23" customHeight="1">
      <x:c r="A50" s="16"/>
      <x:c r="B50" s="16"/>
      <x:c r="C50" s="16"/>
      <x:c r="D50" s="17" t="str">
        <x:f>IF(OR(COUNT(A49:C51)&lt;9,A50&lt;=A49,A51&lt;=A50),"",(B51-B49)/(A51-A49))</x:f>
      </x:c>
      <x:c r="E50" s="17" t="str">
        <x:f>IF(OR(COUNT(A49:C51)&lt;9,A50&lt;=A49,A51&lt;=A50),"",(C51-C49)/(A51-A49))</x:f>
      </x:c>
      <x:c r="F50" s="17" t="str">
        <x:f>IF(COUNT(D50:E50)&lt;2,"",SQRT(D50^2+E50^2))</x:f>
      </x:c>
      <x:c r="G50" s="17" t="str">
        <x:f>IF(OR(COUNT(F50,$B$5)&lt;2,$B$5&lt;=0),"",0.5*$B$5*F50^2)</x:f>
      </x:c>
      <x:c r="H50" s="2" t="str">
        <x:f>IF(COUNT(A49:C51)&lt;9,"",IF(OR(A50&lt;=A49,A51&lt;=A50),"Tiempos no crecientes",IF(OR(COUNT($B$5)=0,$B$5&lt;=0),"Completar masa","")))</x:f>
      </x:c>
    </x:row>
    <x:row r="51" ht="23" customHeight="1">
      <x:c r="A51" s="16"/>
      <x:c r="B51" s="16"/>
      <x:c r="C51" s="16"/>
      <x:c r="D51" s="17" t="str">
        <x:f>IF(OR(COUNT(A50:C52)&lt;9,A51&lt;=A50,A52&lt;=A51),"",(B52-B50)/(A52-A50))</x:f>
      </x:c>
      <x:c r="E51" s="17" t="str">
        <x:f>IF(OR(COUNT(A50:C52)&lt;9,A51&lt;=A50,A52&lt;=A51),"",(C52-C50)/(A52-A50))</x:f>
      </x:c>
      <x:c r="F51" s="17" t="str">
        <x:f>IF(COUNT(D51:E51)&lt;2,"",SQRT(D51^2+E51^2))</x:f>
      </x:c>
      <x:c r="G51" s="17" t="str">
        <x:f>IF(OR(COUNT(F51,$B$5)&lt;2,$B$5&lt;=0),"",0.5*$B$5*F51^2)</x:f>
      </x:c>
      <x:c r="H51" s="2" t="str">
        <x:f>IF(COUNT(A50:C52)&lt;9,"",IF(OR(A51&lt;=A50,A52&lt;=A51),"Tiempos no crecientes",IF(OR(COUNT($B$5)=0,$B$5&lt;=0),"Completar masa","")))</x:f>
      </x:c>
    </x:row>
    <x:row r="52" ht="23" customHeight="1">
      <x:c r="A52" s="16"/>
      <x:c r="B52" s="16"/>
      <x:c r="C52" s="16"/>
      <x:c r="D52" s="17" t="str">
        <x:f>IF(OR(COUNT(A51:C53)&lt;9,A52&lt;=A51,A53&lt;=A52),"",(B53-B51)/(A53-A51))</x:f>
      </x:c>
      <x:c r="E52" s="17" t="str">
        <x:f>IF(OR(COUNT(A51:C53)&lt;9,A52&lt;=A51,A53&lt;=A52),"",(C53-C51)/(A53-A51))</x:f>
      </x:c>
      <x:c r="F52" s="17" t="str">
        <x:f>IF(COUNT(D52:E52)&lt;2,"",SQRT(D52^2+E52^2))</x:f>
      </x:c>
      <x:c r="G52" s="17" t="str">
        <x:f>IF(OR(COUNT(F52,$B$5)&lt;2,$B$5&lt;=0),"",0.5*$B$5*F52^2)</x:f>
      </x:c>
      <x:c r="H52" s="2" t="str">
        <x:f>IF(COUNT(A51:C53)&lt;9,"",IF(OR(A52&lt;=A51,A53&lt;=A52),"Tiempos no crecientes",IF(OR(COUNT($B$5)=0,$B$5&lt;=0),"Completar masa","")))</x:f>
      </x:c>
    </x:row>
    <x:row r="53" ht="23" customHeight="1">
      <x:c r="A53" s="16"/>
      <x:c r="B53" s="16"/>
      <x:c r="C53" s="16"/>
      <x:c r="D53" s="17" t="str">
        <x:f>IF(OR(COUNT(A52:C54)&lt;9,A53&lt;=A52,A54&lt;=A53),"",(B54-B52)/(A54-A52))</x:f>
      </x:c>
      <x:c r="E53" s="17" t="str">
        <x:f>IF(OR(COUNT(A52:C54)&lt;9,A53&lt;=A52,A54&lt;=A53),"",(C54-C52)/(A54-A52))</x:f>
      </x:c>
      <x:c r="F53" s="17" t="str">
        <x:f>IF(COUNT(D53:E53)&lt;2,"",SQRT(D53^2+E53^2))</x:f>
      </x:c>
      <x:c r="G53" s="17" t="str">
        <x:f>IF(OR(COUNT(F53,$B$5)&lt;2,$B$5&lt;=0),"",0.5*$B$5*F53^2)</x:f>
      </x:c>
      <x:c r="H53" s="2" t="str">
        <x:f>IF(COUNT(A52:C54)&lt;9,"",IF(OR(A53&lt;=A52,A54&lt;=A53),"Tiempos no crecientes",IF(OR(COUNT($B$5)=0,$B$5&lt;=0),"Completar masa","")))</x:f>
      </x:c>
    </x:row>
    <x:row r="54" ht="23" customHeight="1">
      <x:c r="A54" s="16"/>
      <x:c r="B54" s="16"/>
      <x:c r="C54" s="16"/>
      <x:c r="D54" s="17" t="str">
        <x:f>IF(OR(COUNT(A53:C55)&lt;9,A54&lt;=A53,A55&lt;=A54),"",(B55-B53)/(A55-A53))</x:f>
      </x:c>
      <x:c r="E54" s="17" t="str">
        <x:f>IF(OR(COUNT(A53:C55)&lt;9,A54&lt;=A53,A55&lt;=A54),"",(C55-C53)/(A55-A53))</x:f>
      </x:c>
      <x:c r="F54" s="17" t="str">
        <x:f>IF(COUNT(D54:E54)&lt;2,"",SQRT(D54^2+E54^2))</x:f>
      </x:c>
      <x:c r="G54" s="17" t="str">
        <x:f>IF(OR(COUNT(F54,$B$5)&lt;2,$B$5&lt;=0),"",0.5*$B$5*F54^2)</x:f>
      </x:c>
      <x:c r="H54" s="2" t="str">
        <x:f>IF(COUNT(A53:C55)&lt;9,"",IF(OR(A54&lt;=A53,A55&lt;=A54),"Tiempos no crecientes",IF(OR(COUNT($B$5)=0,$B$5&lt;=0),"Completar masa","")))</x:f>
      </x:c>
    </x:row>
    <x:row r="55" ht="23" customHeight="1">
      <x:c r="A55" s="16"/>
      <x:c r="B55" s="16"/>
      <x:c r="C55" s="16"/>
      <x:c r="D55" s="17" t="str">
        <x:f>IF(OR(COUNT(A54:C56)&lt;9,A55&lt;=A54,A56&lt;=A55),"",(B56-B54)/(A56-A54))</x:f>
      </x:c>
      <x:c r="E55" s="17" t="str">
        <x:f>IF(OR(COUNT(A54:C56)&lt;9,A55&lt;=A54,A56&lt;=A55),"",(C56-C54)/(A56-A54))</x:f>
      </x:c>
      <x:c r="F55" s="17" t="str">
        <x:f>IF(COUNT(D55:E55)&lt;2,"",SQRT(D55^2+E55^2))</x:f>
      </x:c>
      <x:c r="G55" s="17" t="str">
        <x:f>IF(OR(COUNT(F55,$B$5)&lt;2,$B$5&lt;=0),"",0.5*$B$5*F55^2)</x:f>
      </x:c>
      <x:c r="H55" s="2" t="str">
        <x:f>IF(COUNT(A54:C56)&lt;9,"",IF(OR(A55&lt;=A54,A56&lt;=A55),"Tiempos no crecientes",IF(OR(COUNT($B$5)=0,$B$5&lt;=0),"Completar masa","")))</x:f>
      </x:c>
    </x:row>
    <x:row r="56" ht="23" customHeight="1">
      <x:c r="A56" s="16"/>
      <x:c r="B56" s="16"/>
      <x:c r="C56" s="16"/>
      <x:c r="D56" s="17" t="str">
        <x:f>IF(OR(COUNT(A55:C57)&lt;9,A56&lt;=A55,A57&lt;=A56),"",(B57-B55)/(A57-A55))</x:f>
      </x:c>
      <x:c r="E56" s="17" t="str">
        <x:f>IF(OR(COUNT(A55:C57)&lt;9,A56&lt;=A55,A57&lt;=A56),"",(C57-C55)/(A57-A55))</x:f>
      </x:c>
      <x:c r="F56" s="17" t="str">
        <x:f>IF(COUNT(D56:E56)&lt;2,"",SQRT(D56^2+E56^2))</x:f>
      </x:c>
      <x:c r="G56" s="17" t="str">
        <x:f>IF(OR(COUNT(F56,$B$5)&lt;2,$B$5&lt;=0),"",0.5*$B$5*F56^2)</x:f>
      </x:c>
      <x:c r="H56" s="2" t="str">
        <x:f>IF(COUNT(A55:C57)&lt;9,"",IF(OR(A56&lt;=A55,A57&lt;=A56),"Tiempos no crecientes",IF(OR(COUNT($B$5)=0,$B$5&lt;=0),"Completar masa","")))</x:f>
      </x:c>
    </x:row>
    <x:row r="57" ht="23" customHeight="1">
      <x:c r="A57" s="16"/>
      <x:c r="B57" s="16"/>
      <x:c r="C57" s="16"/>
      <x:c r="D57" s="17" t="str">
        <x:f>IF(OR(COUNT(A56:C58)&lt;9,A57&lt;=A56,A58&lt;=A57),"",(B58-B56)/(A58-A56))</x:f>
      </x:c>
      <x:c r="E57" s="17" t="str">
        <x:f>IF(OR(COUNT(A56:C58)&lt;9,A57&lt;=A56,A58&lt;=A57),"",(C58-C56)/(A58-A56))</x:f>
      </x:c>
      <x:c r="F57" s="17" t="str">
        <x:f>IF(COUNT(D57:E57)&lt;2,"",SQRT(D57^2+E57^2))</x:f>
      </x:c>
      <x:c r="G57" s="17" t="str">
        <x:f>IF(OR(COUNT(F57,$B$5)&lt;2,$B$5&lt;=0),"",0.5*$B$5*F57^2)</x:f>
      </x:c>
      <x:c r="H57" s="2" t="str">
        <x:f>IF(COUNT(A56:C58)&lt;9,"",IF(OR(A57&lt;=A56,A58&lt;=A57),"Tiempos no crecientes",IF(OR(COUNT($B$5)=0,$B$5&lt;=0),"Completar masa","")))</x:f>
      </x:c>
    </x:row>
    <x:row r="58" ht="23" customHeight="1">
      <x:c r="A58" s="16"/>
      <x:c r="B58" s="16"/>
      <x:c r="C58" s="16"/>
      <x:c r="D58" s="17" t="str">
        <x:f>IF(OR(COUNT(A57:C59)&lt;9,A58&lt;=A57,A59&lt;=A58),"",(B59-B57)/(A59-A57))</x:f>
      </x:c>
      <x:c r="E58" s="17" t="str">
        <x:f>IF(OR(COUNT(A57:C59)&lt;9,A58&lt;=A57,A59&lt;=A58),"",(C59-C57)/(A59-A57))</x:f>
      </x:c>
      <x:c r="F58" s="17" t="str">
        <x:f>IF(COUNT(D58:E58)&lt;2,"",SQRT(D58^2+E58^2))</x:f>
      </x:c>
      <x:c r="G58" s="17" t="str">
        <x:f>IF(OR(COUNT(F58,$B$5)&lt;2,$B$5&lt;=0),"",0.5*$B$5*F58^2)</x:f>
      </x:c>
      <x:c r="H58" s="2" t="str">
        <x:f>IF(COUNT(A57:C59)&lt;9,"",IF(OR(A58&lt;=A57,A59&lt;=A58),"Tiempos no crecientes",IF(OR(COUNT($B$5)=0,$B$5&lt;=0),"Completar masa","")))</x:f>
      </x:c>
    </x:row>
    <x:row r="59" ht="23" customHeight="1">
      <x:c r="A59" s="16"/>
      <x:c r="B59" s="16"/>
      <x:c r="C59" s="16"/>
      <x:c r="D59" s="17" t="str">
        <x:f>IF(OR(COUNT(A58:C60)&lt;9,A59&lt;=A58,A60&lt;=A59),"",(B60-B58)/(A60-A58))</x:f>
      </x:c>
      <x:c r="E59" s="17" t="str">
        <x:f>IF(OR(COUNT(A58:C60)&lt;9,A59&lt;=A58,A60&lt;=A59),"",(C60-C58)/(A60-A58))</x:f>
      </x:c>
      <x:c r="F59" s="17" t="str">
        <x:f>IF(COUNT(D59:E59)&lt;2,"",SQRT(D59^2+E59^2))</x:f>
      </x:c>
      <x:c r="G59" s="17" t="str">
        <x:f>IF(OR(COUNT(F59,$B$5)&lt;2,$B$5&lt;=0),"",0.5*$B$5*F59^2)</x:f>
      </x:c>
      <x:c r="H59" s="2" t="str">
        <x:f>IF(COUNT(A58:C60)&lt;9,"",IF(OR(A59&lt;=A58,A60&lt;=A59),"Tiempos no crecientes",IF(OR(COUNT($B$5)=0,$B$5&lt;=0),"Completar masa","")))</x:f>
      </x:c>
    </x:row>
    <x:row r="60" ht="23" customHeight="1">
      <x:c r="A60" s="16"/>
      <x:c r="B60" s="16"/>
      <x:c r="C60" s="16"/>
      <x:c r="D60" s="17" t="str">
        <x:f>IF(OR(COUNT(A59:C61)&lt;9,A60&lt;=A59,A61&lt;=A60),"",(B61-B59)/(A61-A59))</x:f>
      </x:c>
      <x:c r="E60" s="17" t="str">
        <x:f>IF(OR(COUNT(A59:C61)&lt;9,A60&lt;=A59,A61&lt;=A60),"",(C61-C59)/(A61-A59))</x:f>
      </x:c>
      <x:c r="F60" s="17" t="str">
        <x:f>IF(COUNT(D60:E60)&lt;2,"",SQRT(D60^2+E60^2))</x:f>
      </x:c>
      <x:c r="G60" s="17" t="str">
        <x:f>IF(OR(COUNT(F60,$B$5)&lt;2,$B$5&lt;=0),"",0.5*$B$5*F60^2)</x:f>
      </x:c>
      <x:c r="H60" s="2" t="str">
        <x:f>IF(COUNT(A59:C61)&lt;9,"",IF(OR(A60&lt;=A59,A61&lt;=A60),"Tiempos no crecientes",IF(OR(COUNT($B$5)=0,$B$5&lt;=0),"Completar masa","")))</x:f>
      </x:c>
    </x:row>
    <x:row r="61" ht="23" customHeight="1">
      <x:c r="A61" s="16"/>
      <x:c r="B61" s="16"/>
      <x:c r="C61" s="16"/>
      <x:c r="D61" s="17" t="str">
        <x:f>IF(OR(COUNT(A60:C62)&lt;9,A61&lt;=A60,A62&lt;=A61),"",(B62-B60)/(A62-A60))</x:f>
      </x:c>
      <x:c r="E61" s="17" t="str">
        <x:f>IF(OR(COUNT(A60:C62)&lt;9,A61&lt;=A60,A62&lt;=A61),"",(C62-C60)/(A62-A60))</x:f>
      </x:c>
      <x:c r="F61" s="17" t="str">
        <x:f>IF(COUNT(D61:E61)&lt;2,"",SQRT(D61^2+E61^2))</x:f>
      </x:c>
      <x:c r="G61" s="17" t="str">
        <x:f>IF(OR(COUNT(F61,$B$5)&lt;2,$B$5&lt;=0),"",0.5*$B$5*F61^2)</x:f>
      </x:c>
      <x:c r="H61" s="2" t="str">
        <x:f>IF(COUNT(A60:C62)&lt;9,"",IF(OR(A61&lt;=A60,A62&lt;=A61),"Tiempos no crecientes",IF(OR(COUNT($B$5)=0,$B$5&lt;=0),"Completar masa","")))</x:f>
      </x:c>
    </x:row>
    <x:row r="62" ht="23" customHeight="1">
      <x:c r="A62" s="16"/>
      <x:c r="B62" s="16"/>
      <x:c r="C62" s="16"/>
      <x:c r="D62" s="17" t="str">
        <x:f>IF(OR(COUNT(A61:C63)&lt;9,A62&lt;=A61,A63&lt;=A62),"",(B63-B61)/(A63-A61))</x:f>
      </x:c>
      <x:c r="E62" s="17" t="str">
        <x:f>IF(OR(COUNT(A61:C63)&lt;9,A62&lt;=A61,A63&lt;=A62),"",(C63-C61)/(A63-A61))</x:f>
      </x:c>
      <x:c r="F62" s="17" t="str">
        <x:f>IF(COUNT(D62:E62)&lt;2,"",SQRT(D62^2+E62^2))</x:f>
      </x:c>
      <x:c r="G62" s="17" t="str">
        <x:f>IF(OR(COUNT(F62,$B$5)&lt;2,$B$5&lt;=0),"",0.5*$B$5*F62^2)</x:f>
      </x:c>
      <x:c r="H62" s="2" t="str">
        <x:f>IF(COUNT(A61:C63)&lt;9,"",IF(OR(A62&lt;=A61,A63&lt;=A62),"Tiempos no crecientes",IF(OR(COUNT($B$5)=0,$B$5&lt;=0),"Completar masa","")))</x:f>
      </x:c>
    </x:row>
    <x:row r="63" ht="23" customHeight="1">
      <x:c r="A63" s="16"/>
      <x:c r="B63" s="16"/>
      <x:c r="C63" s="16"/>
      <x:c r="D63" s="17" t="str">
        <x:f>IF(OR(COUNT(A62:C64)&lt;9,A63&lt;=A62,A64&lt;=A63),"",(B64-B62)/(A64-A62))</x:f>
      </x:c>
      <x:c r="E63" s="17" t="str">
        <x:f>IF(OR(COUNT(A62:C64)&lt;9,A63&lt;=A62,A64&lt;=A63),"",(C64-C62)/(A64-A62))</x:f>
      </x:c>
      <x:c r="F63" s="17" t="str">
        <x:f>IF(COUNT(D63:E63)&lt;2,"",SQRT(D63^2+E63^2))</x:f>
      </x:c>
      <x:c r="G63" s="17" t="str">
        <x:f>IF(OR(COUNT(F63,$B$5)&lt;2,$B$5&lt;=0),"",0.5*$B$5*F63^2)</x:f>
      </x:c>
      <x:c r="H63" s="2" t="str">
        <x:f>IF(COUNT(A62:C64)&lt;9,"",IF(OR(A63&lt;=A62,A64&lt;=A63),"Tiempos no crecientes",IF(OR(COUNT($B$5)=0,$B$5&lt;=0),"Completar masa","")))</x:f>
      </x:c>
    </x:row>
    <x:row r="64" ht="23" customHeight="1">
      <x:c r="A64" s="16"/>
      <x:c r="B64" s="16"/>
      <x:c r="C64" s="16"/>
      <x:c r="D64" s="17" t="str">
        <x:f>IF(OR(COUNT(A63:C65)&lt;9,A64&lt;=A63,A65&lt;=A64),"",(B65-B63)/(A65-A63))</x:f>
      </x:c>
      <x:c r="E64" s="17" t="str">
        <x:f>IF(OR(COUNT(A63:C65)&lt;9,A64&lt;=A63,A65&lt;=A64),"",(C65-C63)/(A65-A63))</x:f>
      </x:c>
      <x:c r="F64" s="17" t="str">
        <x:f>IF(COUNT(D64:E64)&lt;2,"",SQRT(D64^2+E64^2))</x:f>
      </x:c>
      <x:c r="G64" s="17" t="str">
        <x:f>IF(OR(COUNT(F64,$B$5)&lt;2,$B$5&lt;=0),"",0.5*$B$5*F64^2)</x:f>
      </x:c>
      <x:c r="H64" s="2" t="str">
        <x:f>IF(COUNT(A63:C65)&lt;9,"",IF(OR(A64&lt;=A63,A65&lt;=A64),"Tiempos no crecientes",IF(OR(COUNT($B$5)=0,$B$5&lt;=0),"Completar masa","")))</x:f>
      </x:c>
    </x:row>
    <x:row r="65" ht="23" customHeight="1">
      <x:c r="A65" s="16"/>
      <x:c r="B65" s="16"/>
      <x:c r="C65" s="16"/>
      <x:c r="D65" s="17" t="str">
        <x:f>IF(OR(COUNT(A64:C66)&lt;9,A65&lt;=A64,A66&lt;=A65),"",(B66-B64)/(A66-A64))</x:f>
      </x:c>
      <x:c r="E65" s="17" t="str">
        <x:f>IF(OR(COUNT(A64:C66)&lt;9,A65&lt;=A64,A66&lt;=A65),"",(C66-C64)/(A66-A64))</x:f>
      </x:c>
      <x:c r="F65" s="17" t="str">
        <x:f>IF(COUNT(D65:E65)&lt;2,"",SQRT(D65^2+E65^2))</x:f>
      </x:c>
      <x:c r="G65" s="17" t="str">
        <x:f>IF(OR(COUNT(F65,$B$5)&lt;2,$B$5&lt;=0),"",0.5*$B$5*F65^2)</x:f>
      </x:c>
      <x:c r="H65" s="2" t="str">
        <x:f>IF(COUNT(A64:C66)&lt;9,"",IF(OR(A65&lt;=A64,A66&lt;=A65),"Tiempos no crecientes",IF(OR(COUNT($B$5)=0,$B$5&lt;=0),"Completar masa","")))</x:f>
      </x:c>
    </x:row>
    <x:row r="66" ht="23" customHeight="1">
      <x:c r="A66" s="16"/>
      <x:c r="B66" s="16"/>
      <x:c r="C66" s="16"/>
      <x:c r="D66" s="17" t="str">
        <x:f>IF(OR(COUNT(A65:C67)&lt;9,A66&lt;=A65,A67&lt;=A66),"",(B67-B65)/(A67-A65))</x:f>
      </x:c>
      <x:c r="E66" s="17" t="str">
        <x:f>IF(OR(COUNT(A65:C67)&lt;9,A66&lt;=A65,A67&lt;=A66),"",(C67-C65)/(A67-A65))</x:f>
      </x:c>
      <x:c r="F66" s="17" t="str">
        <x:f>IF(COUNT(D66:E66)&lt;2,"",SQRT(D66^2+E66^2))</x:f>
      </x:c>
      <x:c r="G66" s="17" t="str">
        <x:f>IF(OR(COUNT(F66,$B$5)&lt;2,$B$5&lt;=0),"",0.5*$B$5*F66^2)</x:f>
      </x:c>
      <x:c r="H66" s="2" t="str">
        <x:f>IF(COUNT(A65:C67)&lt;9,"",IF(OR(A66&lt;=A65,A67&lt;=A66),"Tiempos no crecientes",IF(OR(COUNT($B$5)=0,$B$5&lt;=0),"Completar masa","")))</x:f>
      </x:c>
    </x:row>
    <x:row r="67" ht="23" customHeight="1">
      <x:c r="A67" s="16"/>
      <x:c r="B67" s="16"/>
      <x:c r="C67" s="16"/>
      <x:c r="D67" s="17" t="str">
        <x:f>IF(OR(COUNT(A66:C68)&lt;9,A67&lt;=A66,A68&lt;=A67),"",(B68-B66)/(A68-A66))</x:f>
      </x:c>
      <x:c r="E67" s="17" t="str">
        <x:f>IF(OR(COUNT(A66:C68)&lt;9,A67&lt;=A66,A68&lt;=A67),"",(C68-C66)/(A68-A66))</x:f>
      </x:c>
      <x:c r="F67" s="17" t="str">
        <x:f>IF(COUNT(D67:E67)&lt;2,"",SQRT(D67^2+E67^2))</x:f>
      </x:c>
      <x:c r="G67" s="17" t="str">
        <x:f>IF(OR(COUNT(F67,$B$5)&lt;2,$B$5&lt;=0),"",0.5*$B$5*F67^2)</x:f>
      </x:c>
      <x:c r="H67" s="2" t="str">
        <x:f>IF(COUNT(A66:C68)&lt;9,"",IF(OR(A67&lt;=A66,A68&lt;=A67),"Tiempos no crecientes",IF(OR(COUNT($B$5)=0,$B$5&lt;=0),"Completar masa","")))</x:f>
      </x:c>
    </x:row>
    <x:row r="68" ht="23" customHeight="1">
      <x:c r="A68" s="16"/>
      <x:c r="B68" s="16"/>
      <x:c r="C68" s="16"/>
      <x:c r="D68" s="17" t="str">
        <x:f>IF(OR(COUNT(A67:C69)&lt;9,A68&lt;=A67,A69&lt;=A68),"",(B69-B67)/(A69-A67))</x:f>
      </x:c>
      <x:c r="E68" s="17" t="str">
        <x:f>IF(OR(COUNT(A67:C69)&lt;9,A68&lt;=A67,A69&lt;=A68),"",(C69-C67)/(A69-A67))</x:f>
      </x:c>
      <x:c r="F68" s="17" t="str">
        <x:f>IF(COUNT(D68:E68)&lt;2,"",SQRT(D68^2+E68^2))</x:f>
      </x:c>
      <x:c r="G68" s="17" t="str">
        <x:f>IF(OR(COUNT(F68,$B$5)&lt;2,$B$5&lt;=0),"",0.5*$B$5*F68^2)</x:f>
      </x:c>
      <x:c r="H68" s="2" t="str">
        <x:f>IF(COUNT(A67:C69)&lt;9,"",IF(OR(A68&lt;=A67,A69&lt;=A68),"Tiempos no crecientes",IF(OR(COUNT($B$5)=0,$B$5&lt;=0),"Completar masa","")))</x:f>
      </x:c>
    </x:row>
    <x:row r="69" ht="23" customHeight="1">
      <x:c r="A69" s="16"/>
      <x:c r="B69" s="16"/>
      <x:c r="C69" s="16"/>
      <x:c r="D69" s="17" t="str">
        <x:f>IF(OR(COUNT(A68:C70)&lt;9,A69&lt;=A68,A70&lt;=A69),"",(B70-B68)/(A70-A68))</x:f>
      </x:c>
      <x:c r="E69" s="17" t="str">
        <x:f>IF(OR(COUNT(A68:C70)&lt;9,A69&lt;=A68,A70&lt;=A69),"",(C70-C68)/(A70-A68))</x:f>
      </x:c>
      <x:c r="F69" s="17" t="str">
        <x:f>IF(COUNT(D69:E69)&lt;2,"",SQRT(D69^2+E69^2))</x:f>
      </x:c>
      <x:c r="G69" s="17" t="str">
        <x:f>IF(OR(COUNT(F69,$B$5)&lt;2,$B$5&lt;=0),"",0.5*$B$5*F69^2)</x:f>
      </x:c>
      <x:c r="H69" s="2" t="str">
        <x:f>IF(COUNT(A68:C70)&lt;9,"",IF(OR(A69&lt;=A68,A70&lt;=A69),"Tiempos no crecientes",IF(OR(COUNT($B$5)=0,$B$5&lt;=0),"Completar masa","")))</x:f>
      </x:c>
    </x:row>
    <x:row r="70" ht="23" customHeight="1">
      <x:c r="A70" s="16"/>
      <x:c r="B70" s="16"/>
      <x:c r="C70" s="16"/>
      <x:c r="D70" s="17" t="str">
        <x:f>IF(OR(COUNT(A69:C71)&lt;9,A70&lt;=A69,A71&lt;=A70),"",(B71-B69)/(A71-A69))</x:f>
      </x:c>
      <x:c r="E70" s="17" t="str">
        <x:f>IF(OR(COUNT(A69:C71)&lt;9,A70&lt;=A69,A71&lt;=A70),"",(C71-C69)/(A71-A69))</x:f>
      </x:c>
      <x:c r="F70" s="17" t="str">
        <x:f>IF(COUNT(D70:E70)&lt;2,"",SQRT(D70^2+E70^2))</x:f>
      </x:c>
      <x:c r="G70" s="17" t="str">
        <x:f>IF(OR(COUNT(F70,$B$5)&lt;2,$B$5&lt;=0),"",0.5*$B$5*F70^2)</x:f>
      </x:c>
      <x:c r="H70" s="2" t="str">
        <x:f>IF(COUNT(A69:C71)&lt;9,"",IF(OR(A70&lt;=A69,A71&lt;=A70),"Tiempos no crecientes",IF(OR(COUNT($B$5)=0,$B$5&lt;=0),"Completar masa","")))</x:f>
      </x:c>
    </x:row>
    <x:row r="71" ht="23" customHeight="1">
      <x:c r="A71" s="16"/>
      <x:c r="B71" s="16"/>
      <x:c r="C71" s="16"/>
      <x:c r="D71" s="17" t="str">
        <x:f>IF(OR(COUNT(A70:C72)&lt;9,A71&lt;=A70,A72&lt;=A71),"",(B72-B70)/(A72-A70))</x:f>
      </x:c>
      <x:c r="E71" s="17" t="str">
        <x:f>IF(OR(COUNT(A70:C72)&lt;9,A71&lt;=A70,A72&lt;=A71),"",(C72-C70)/(A72-A70))</x:f>
      </x:c>
      <x:c r="F71" s="17" t="str">
        <x:f>IF(COUNT(D71:E71)&lt;2,"",SQRT(D71^2+E71^2))</x:f>
      </x:c>
      <x:c r="G71" s="17" t="str">
        <x:f>IF(OR(COUNT(F71,$B$5)&lt;2,$B$5&lt;=0),"",0.5*$B$5*F71^2)</x:f>
      </x:c>
      <x:c r="H71" s="2" t="str">
        <x:f>IF(COUNT(A70:C72)&lt;9,"",IF(OR(A71&lt;=A70,A72&lt;=A71),"Tiempos no crecientes",IF(OR(COUNT($B$5)=0,$B$5&lt;=0),"Completar masa","")))</x:f>
      </x:c>
    </x:row>
    <x:row r="72" ht="23" customHeight="1">
      <x:c r="A72" s="16"/>
      <x:c r="B72" s="16"/>
      <x:c r="C72" s="16"/>
      <x:c r="D72" s="17" t="str">
        <x:f>IF(OR(COUNT(A71:C73)&lt;9,A72&lt;=A71,A73&lt;=A72),"",(B73-B71)/(A73-A71))</x:f>
      </x:c>
      <x:c r="E72" s="17" t="str">
        <x:f>IF(OR(COUNT(A71:C73)&lt;9,A72&lt;=A71,A73&lt;=A72),"",(C73-C71)/(A73-A71))</x:f>
      </x:c>
      <x:c r="F72" s="17" t="str">
        <x:f>IF(COUNT(D72:E72)&lt;2,"",SQRT(D72^2+E72^2))</x:f>
      </x:c>
      <x:c r="G72" s="17" t="str">
        <x:f>IF(OR(COUNT(F72,$B$5)&lt;2,$B$5&lt;=0),"",0.5*$B$5*F72^2)</x:f>
      </x:c>
      <x:c r="H72" s="2" t="str">
        <x:f>IF(COUNT(A71:C73)&lt;9,"",IF(OR(A72&lt;=A71,A73&lt;=A72),"Tiempos no crecientes",IF(OR(COUNT($B$5)=0,$B$5&lt;=0),"Completar masa","")))</x:f>
      </x:c>
    </x:row>
    <x:row r="73" ht="23" customHeight="1">
      <x:c r="A73" s="16"/>
      <x:c r="B73" s="16"/>
      <x:c r="C73" s="16"/>
      <x:c r="D73" s="17" t="str">
        <x:f>IF(OR(COUNT(A72:C74)&lt;9,A73&lt;=A72,A74&lt;=A73),"",(B74-B72)/(A74-A72))</x:f>
      </x:c>
      <x:c r="E73" s="17" t="str">
        <x:f>IF(OR(COUNT(A72:C74)&lt;9,A73&lt;=A72,A74&lt;=A73),"",(C74-C72)/(A74-A72))</x:f>
      </x:c>
      <x:c r="F73" s="17" t="str">
        <x:f>IF(COUNT(D73:E73)&lt;2,"",SQRT(D73^2+E73^2))</x:f>
      </x:c>
      <x:c r="G73" s="17" t="str">
        <x:f>IF(OR(COUNT(F73,$B$5)&lt;2,$B$5&lt;=0),"",0.5*$B$5*F73^2)</x:f>
      </x:c>
      <x:c r="H73" s="2" t="str">
        <x:f>IF(COUNT(A72:C74)&lt;9,"",IF(OR(A73&lt;=A72,A74&lt;=A73),"Tiempos no crecientes",IF(OR(COUNT($B$5)=0,$B$5&lt;=0),"Completar masa","")))</x:f>
      </x:c>
    </x:row>
    <x:row r="74" ht="23" customHeight="1">
      <x:c r="A74" s="16"/>
      <x:c r="B74" s="16"/>
      <x:c r="C74" s="16"/>
      <x:c r="D74" s="17" t="str">
        <x:f>IF(OR(COUNT(A73:C75)&lt;9,A74&lt;=A73,A75&lt;=A74),"",(B75-B73)/(A75-A73))</x:f>
      </x:c>
      <x:c r="E74" s="17" t="str">
        <x:f>IF(OR(COUNT(A73:C75)&lt;9,A74&lt;=A73,A75&lt;=A74),"",(C75-C73)/(A75-A73))</x:f>
      </x:c>
      <x:c r="F74" s="17" t="str">
        <x:f>IF(COUNT(D74:E74)&lt;2,"",SQRT(D74^2+E74^2))</x:f>
      </x:c>
      <x:c r="G74" s="17" t="str">
        <x:f>IF(OR(COUNT(F74,$B$5)&lt;2,$B$5&lt;=0),"",0.5*$B$5*F74^2)</x:f>
      </x:c>
      <x:c r="H74" s="2" t="str">
        <x:f>IF(COUNT(A73:C75)&lt;9,"",IF(OR(A74&lt;=A73,A75&lt;=A74),"Tiempos no crecientes",IF(OR(COUNT($B$5)=0,$B$5&lt;=0),"Completar masa","")))</x:f>
      </x:c>
    </x:row>
    <x:row r="75" ht="23" customHeight="1">
      <x:c r="A75" s="16"/>
      <x:c r="B75" s="16"/>
      <x:c r="C75" s="16"/>
      <x:c r="D75" s="17" t="str">
        <x:f>IF(OR(COUNT(A74:C76)&lt;9,A75&lt;=A74,A76&lt;=A75),"",(B76-B74)/(A76-A74))</x:f>
      </x:c>
      <x:c r="E75" s="17" t="str">
        <x:f>IF(OR(COUNT(A74:C76)&lt;9,A75&lt;=A74,A76&lt;=A75),"",(C76-C74)/(A76-A74))</x:f>
      </x:c>
      <x:c r="F75" s="17" t="str">
        <x:f>IF(COUNT(D75:E75)&lt;2,"",SQRT(D75^2+E75^2))</x:f>
      </x:c>
      <x:c r="G75" s="17" t="str">
        <x:f>IF(OR(COUNT(F75,$B$5)&lt;2,$B$5&lt;=0),"",0.5*$B$5*F75^2)</x:f>
      </x:c>
      <x:c r="H75" s="2" t="str">
        <x:f>IF(COUNT(A74:C76)&lt;9,"",IF(OR(A75&lt;=A74,A76&lt;=A75),"Tiempos no crecientes",IF(OR(COUNT($B$5)=0,$B$5&lt;=0),"Completar masa","")))</x:f>
      </x:c>
    </x:row>
    <x:row r="76" ht="23" customHeight="1">
      <x:c r="A76" s="16"/>
      <x:c r="B76" s="16"/>
      <x:c r="C76" s="16"/>
      <x:c r="D76" s="17" t="str">
        <x:f>IF(OR(COUNT(A75:C77)&lt;9,A76&lt;=A75,A77&lt;=A76),"",(B77-B75)/(A77-A75))</x:f>
      </x:c>
      <x:c r="E76" s="17" t="str">
        <x:f>IF(OR(COUNT(A75:C77)&lt;9,A76&lt;=A75,A77&lt;=A76),"",(C77-C75)/(A77-A75))</x:f>
      </x:c>
      <x:c r="F76" s="17" t="str">
        <x:f>IF(COUNT(D76:E76)&lt;2,"",SQRT(D76^2+E76^2))</x:f>
      </x:c>
      <x:c r="G76" s="17" t="str">
        <x:f>IF(OR(COUNT(F76,$B$5)&lt;2,$B$5&lt;=0),"",0.5*$B$5*F76^2)</x:f>
      </x:c>
      <x:c r="H76" s="2" t="str">
        <x:f>IF(COUNT(A75:C77)&lt;9,"",IF(OR(A76&lt;=A75,A77&lt;=A76),"Tiempos no crecientes",IF(OR(COUNT($B$5)=0,$B$5&lt;=0),"Completar masa","")))</x:f>
      </x:c>
    </x:row>
    <x:row r="77" ht="23" customHeight="1">
      <x:c r="A77" s="16"/>
      <x:c r="B77" s="16"/>
      <x:c r="C77" s="16"/>
      <x:c r="D77" s="17" t="str">
        <x:f>IF(OR(COUNT(A76:C78)&lt;9,A77&lt;=A76,A78&lt;=A77),"",(B78-B76)/(A78-A76))</x:f>
      </x:c>
      <x:c r="E77" s="17" t="str">
        <x:f>IF(OR(COUNT(A76:C78)&lt;9,A77&lt;=A76,A78&lt;=A77),"",(C78-C76)/(A78-A76))</x:f>
      </x:c>
      <x:c r="F77" s="17" t="str">
        <x:f>IF(COUNT(D77:E77)&lt;2,"",SQRT(D77^2+E77^2))</x:f>
      </x:c>
      <x:c r="G77" s="17" t="str">
        <x:f>IF(OR(COUNT(F77,$B$5)&lt;2,$B$5&lt;=0),"",0.5*$B$5*F77^2)</x:f>
      </x:c>
      <x:c r="H77" s="2" t="str">
        <x:f>IF(COUNT(A76:C78)&lt;9,"",IF(OR(A77&lt;=A76,A78&lt;=A77),"Tiempos no crecientes",IF(OR(COUNT($B$5)=0,$B$5&lt;=0),"Completar masa","")))</x:f>
      </x:c>
    </x:row>
    <x:row r="78" ht="23" customHeight="1">
      <x:c r="A78" s="16"/>
      <x:c r="B78" s="16"/>
      <x:c r="C78" s="16"/>
      <x:c r="D78" s="17" t="str">
        <x:f>IF(OR(COUNT(A77:C79)&lt;9,A78&lt;=A77,A79&lt;=A78),"",(B79-B77)/(A79-A77))</x:f>
      </x:c>
      <x:c r="E78" s="17" t="str">
        <x:f>IF(OR(COUNT(A77:C79)&lt;9,A78&lt;=A77,A79&lt;=A78),"",(C79-C77)/(A79-A77))</x:f>
      </x:c>
      <x:c r="F78" s="17" t="str">
        <x:f>IF(COUNT(D78:E78)&lt;2,"",SQRT(D78^2+E78^2))</x:f>
      </x:c>
      <x:c r="G78" s="17" t="str">
        <x:f>IF(OR(COUNT(F78,$B$5)&lt;2,$B$5&lt;=0),"",0.5*$B$5*F78^2)</x:f>
      </x:c>
      <x:c r="H78" s="2" t="str">
        <x:f>IF(COUNT(A77:C79)&lt;9,"",IF(OR(A78&lt;=A77,A79&lt;=A78),"Tiempos no crecientes",IF(OR(COUNT($B$5)=0,$B$5&lt;=0),"Completar masa","")))</x:f>
      </x:c>
    </x:row>
    <x:row r="79" ht="23" customHeight="1">
      <x:c r="A79" s="16"/>
      <x:c r="B79" s="16"/>
      <x:c r="C79" s="16"/>
      <x:c r="D79" s="17" t="str">
        <x:f>IF(OR(COUNT(A78:C80)&lt;9,A79&lt;=A78,A80&lt;=A79),"",(B80-B78)/(A80-A78))</x:f>
      </x:c>
      <x:c r="E79" s="17" t="str">
        <x:f>IF(OR(COUNT(A78:C80)&lt;9,A79&lt;=A78,A80&lt;=A79),"",(C80-C78)/(A80-A78))</x:f>
      </x:c>
      <x:c r="F79" s="17" t="str">
        <x:f>IF(COUNT(D79:E79)&lt;2,"",SQRT(D79^2+E79^2))</x:f>
      </x:c>
      <x:c r="G79" s="17" t="str">
        <x:f>IF(OR(COUNT(F79,$B$5)&lt;2,$B$5&lt;=0),"",0.5*$B$5*F79^2)</x:f>
      </x:c>
      <x:c r="H79" s="2" t="str">
        <x:f>IF(COUNT(A78:C80)&lt;9,"",IF(OR(A79&lt;=A78,A80&lt;=A79),"Tiempos no crecientes",IF(OR(COUNT($B$5)=0,$B$5&lt;=0),"Completar masa","")))</x:f>
      </x:c>
    </x:row>
    <x:row r="80" ht="23" customHeight="1">
      <x:c r="A80" s="16"/>
      <x:c r="B80" s="16"/>
      <x:c r="C80" s="16"/>
      <x:c r="D80" s="17" t="str">
        <x:f>IF(OR(COUNT(A79:C81)&lt;9,A80&lt;=A79,A81&lt;=A80),"",(B81-B79)/(A81-A79))</x:f>
      </x:c>
      <x:c r="E80" s="17" t="str">
        <x:f>IF(OR(COUNT(A79:C81)&lt;9,A80&lt;=A79,A81&lt;=A80),"",(C81-C79)/(A81-A79))</x:f>
      </x:c>
      <x:c r="F80" s="17" t="str">
        <x:f>IF(COUNT(D80:E80)&lt;2,"",SQRT(D80^2+E80^2))</x:f>
      </x:c>
      <x:c r="G80" s="17" t="str">
        <x:f>IF(OR(COUNT(F80,$B$5)&lt;2,$B$5&lt;=0),"",0.5*$B$5*F80^2)</x:f>
      </x:c>
      <x:c r="H80" s="2" t="str">
        <x:f>IF(COUNT(A79:C81)&lt;9,"",IF(OR(A80&lt;=A79,A81&lt;=A80),"Tiempos no crecientes",IF(OR(COUNT($B$5)=0,$B$5&lt;=0),"Completar masa","")))</x:f>
      </x:c>
    </x:row>
    <x:row r="81" ht="23" customHeight="1">
      <x:c r="A81" s="16"/>
      <x:c r="B81" s="16"/>
      <x:c r="C81" s="16"/>
      <x:c r="D81" s="17" t="str">
        <x:f>IF(OR(COUNT(A80:C82)&lt;9,A81&lt;=A80,A82&lt;=A81),"",(B82-B80)/(A82-A80))</x:f>
      </x:c>
      <x:c r="E81" s="17" t="str">
        <x:f>IF(OR(COUNT(A80:C82)&lt;9,A81&lt;=A80,A82&lt;=A81),"",(C82-C80)/(A82-A80))</x:f>
      </x:c>
      <x:c r="F81" s="17" t="str">
        <x:f>IF(COUNT(D81:E81)&lt;2,"",SQRT(D81^2+E81^2))</x:f>
      </x:c>
      <x:c r="G81" s="17" t="str">
        <x:f>IF(OR(COUNT(F81,$B$5)&lt;2,$B$5&lt;=0),"",0.5*$B$5*F81^2)</x:f>
      </x:c>
      <x:c r="H81" s="2" t="str">
        <x:f>IF(COUNT(A80:C82)&lt;9,"",IF(OR(A81&lt;=A80,A82&lt;=A81),"Tiempos no crecientes",IF(OR(COUNT($B$5)=0,$B$5&lt;=0),"Completar masa","")))</x:f>
      </x:c>
    </x:row>
    <x:row r="82" ht="23" customHeight="1">
      <x:c r="A82" s="16"/>
      <x:c r="B82" s="16"/>
      <x:c r="C82" s="16"/>
      <x:c r="D82" s="17" t="str">
        <x:f>IF(OR(COUNT(A81:C83)&lt;9,A82&lt;=A81,A83&lt;=A82),"",(B83-B81)/(A83-A81))</x:f>
      </x:c>
      <x:c r="E82" s="17" t="str">
        <x:f>IF(OR(COUNT(A81:C83)&lt;9,A82&lt;=A81,A83&lt;=A82),"",(C83-C81)/(A83-A81))</x:f>
      </x:c>
      <x:c r="F82" s="17" t="str">
        <x:f>IF(COUNT(D82:E82)&lt;2,"",SQRT(D82^2+E82^2))</x:f>
      </x:c>
      <x:c r="G82" s="17" t="str">
        <x:f>IF(OR(COUNT(F82,$B$5)&lt;2,$B$5&lt;=0),"",0.5*$B$5*F82^2)</x:f>
      </x:c>
      <x:c r="H82" s="2" t="str">
        <x:f>IF(COUNT(A81:C83)&lt;9,"",IF(OR(A82&lt;=A81,A83&lt;=A82),"Tiempos no crecientes",IF(OR(COUNT($B$5)=0,$B$5&lt;=0),"Completar masa","")))</x:f>
      </x:c>
    </x:row>
    <x:row r="83" ht="23" customHeight="1">
      <x:c r="A83" s="16"/>
      <x:c r="B83" s="16"/>
      <x:c r="C83" s="16"/>
      <x:c r="D83" s="17" t="str">
        <x:f>IF(OR(COUNT(A82:C84)&lt;9,A83&lt;=A82,A84&lt;=A83),"",(B84-B82)/(A84-A82))</x:f>
      </x:c>
      <x:c r="E83" s="17" t="str">
        <x:f>IF(OR(COUNT(A82:C84)&lt;9,A83&lt;=A82,A84&lt;=A83),"",(C84-C82)/(A84-A82))</x:f>
      </x:c>
      <x:c r="F83" s="17" t="str">
        <x:f>IF(COUNT(D83:E83)&lt;2,"",SQRT(D83^2+E83^2))</x:f>
      </x:c>
      <x:c r="G83" s="17" t="str">
        <x:f>IF(OR(COUNT(F83,$B$5)&lt;2,$B$5&lt;=0),"",0.5*$B$5*F83^2)</x:f>
      </x:c>
      <x:c r="H83" s="2" t="str">
        <x:f>IF(COUNT(A82:C84)&lt;9,"",IF(OR(A83&lt;=A82,A84&lt;=A83),"Tiempos no crecientes",IF(OR(COUNT($B$5)=0,$B$5&lt;=0),"Completar masa","")))</x:f>
      </x:c>
    </x:row>
    <x:row r="84" ht="23" customHeight="1">
      <x:c r="A84" s="16"/>
      <x:c r="B84" s="16"/>
      <x:c r="C84" s="16"/>
      <x:c r="D84" s="17" t="str">
        <x:f>IF(OR(COUNT(A83:C85)&lt;9,A84&lt;=A83,A85&lt;=A84),"",(B85-B83)/(A85-A83))</x:f>
      </x:c>
      <x:c r="E84" s="17" t="str">
        <x:f>IF(OR(COUNT(A83:C85)&lt;9,A84&lt;=A83,A85&lt;=A84),"",(C85-C83)/(A85-A83))</x:f>
      </x:c>
      <x:c r="F84" s="17" t="str">
        <x:f>IF(COUNT(D84:E84)&lt;2,"",SQRT(D84^2+E84^2))</x:f>
      </x:c>
      <x:c r="G84" s="17" t="str">
        <x:f>IF(OR(COUNT(F84,$B$5)&lt;2,$B$5&lt;=0),"",0.5*$B$5*F84^2)</x:f>
      </x:c>
      <x:c r="H84" s="2" t="str">
        <x:f>IF(COUNT(A83:C85)&lt;9,"",IF(OR(A84&lt;=A83,A85&lt;=A84),"Tiempos no crecientes",IF(OR(COUNT($B$5)=0,$B$5&lt;=0),"Completar masa","")))</x:f>
      </x:c>
    </x:row>
    <x:row r="85" ht="23" customHeight="1">
      <x:c r="A85" s="16"/>
      <x:c r="B85" s="16"/>
      <x:c r="C85" s="16"/>
      <x:c r="D85" s="17" t="str">
        <x:f>IF(OR(COUNT(A84:C86)&lt;9,A85&lt;=A84,A86&lt;=A85),"",(B86-B84)/(A86-A84))</x:f>
      </x:c>
      <x:c r="E85" s="17" t="str">
        <x:f>IF(OR(COUNT(A84:C86)&lt;9,A85&lt;=A84,A86&lt;=A85),"",(C86-C84)/(A86-A84))</x:f>
      </x:c>
      <x:c r="F85" s="17" t="str">
        <x:f>IF(COUNT(D85:E85)&lt;2,"",SQRT(D85^2+E85^2))</x:f>
      </x:c>
      <x:c r="G85" s="17" t="str">
        <x:f>IF(OR(COUNT(F85,$B$5)&lt;2,$B$5&lt;=0),"",0.5*$B$5*F85^2)</x:f>
      </x:c>
      <x:c r="H85" s="2" t="str">
        <x:f>IF(COUNT(A84:C86)&lt;9,"",IF(OR(A85&lt;=A84,A86&lt;=A85),"Tiempos no crecientes",IF(OR(COUNT($B$5)=0,$B$5&lt;=0),"Completar masa","")))</x:f>
      </x:c>
    </x:row>
    <x:row r="86" ht="23" customHeight="1">
      <x:c r="A86" s="16"/>
      <x:c r="B86" s="16"/>
      <x:c r="C86" s="16"/>
      <x:c r="D86" s="17" t="str">
        <x:f>IF(OR(COUNT(A85:C87)&lt;9,A86&lt;=A85,A87&lt;=A86),"",(B87-B85)/(A87-A85))</x:f>
      </x:c>
      <x:c r="E86" s="17" t="str">
        <x:f>IF(OR(COUNT(A85:C87)&lt;9,A86&lt;=A85,A87&lt;=A86),"",(C87-C85)/(A87-A85))</x:f>
      </x:c>
      <x:c r="F86" s="17" t="str">
        <x:f>IF(COUNT(D86:E86)&lt;2,"",SQRT(D86^2+E86^2))</x:f>
      </x:c>
      <x:c r="G86" s="17" t="str">
        <x:f>IF(OR(COUNT(F86,$B$5)&lt;2,$B$5&lt;=0),"",0.5*$B$5*F86^2)</x:f>
      </x:c>
      <x:c r="H86" s="2" t="str">
        <x:f>IF(COUNT(A85:C87)&lt;9,"",IF(OR(A86&lt;=A85,A87&lt;=A86),"Tiempos no crecientes",IF(OR(COUNT($B$5)=0,$B$5&lt;=0),"Completar masa","")))</x:f>
      </x:c>
    </x:row>
    <x:row r="87" ht="23" customHeight="1">
      <x:c r="A87" s="16"/>
      <x:c r="B87" s="16"/>
      <x:c r="C87" s="16"/>
      <x:c r="D87" s="17" t="str">
        <x:f>IF(OR(COUNT(A86:C88)&lt;9,A87&lt;=A86,A88&lt;=A87),"",(B88-B86)/(A88-A86))</x:f>
      </x:c>
      <x:c r="E87" s="17" t="str">
        <x:f>IF(OR(COUNT(A86:C88)&lt;9,A87&lt;=A86,A88&lt;=A87),"",(C88-C86)/(A88-A86))</x:f>
      </x:c>
      <x:c r="F87" s="17" t="str">
        <x:f>IF(COUNT(D87:E87)&lt;2,"",SQRT(D87^2+E87^2))</x:f>
      </x:c>
      <x:c r="G87" s="17" t="str">
        <x:f>IF(OR(COUNT(F87,$B$5)&lt;2,$B$5&lt;=0),"",0.5*$B$5*F87^2)</x:f>
      </x:c>
      <x:c r="H87" s="2" t="str">
        <x:f>IF(COUNT(A86:C88)&lt;9,"",IF(OR(A87&lt;=A86,A88&lt;=A87),"Tiempos no crecientes",IF(OR(COUNT($B$5)=0,$B$5&lt;=0),"Completar masa","")))</x:f>
      </x:c>
    </x:row>
    <x:row r="88" ht="23" customHeight="1">
      <x:c r="A88" s="16"/>
      <x:c r="B88" s="16"/>
      <x:c r="C88" s="16"/>
      <x:c r="D88" s="17" t="str">
        <x:f>IF(OR(COUNT(A87:C89)&lt;9,A88&lt;=A87,A89&lt;=A88),"",(B89-B87)/(A89-A87))</x:f>
      </x:c>
      <x:c r="E88" s="17" t="str">
        <x:f>IF(OR(COUNT(A87:C89)&lt;9,A88&lt;=A87,A89&lt;=A88),"",(C89-C87)/(A89-A87))</x:f>
      </x:c>
      <x:c r="F88" s="17" t="str">
        <x:f>IF(COUNT(D88:E88)&lt;2,"",SQRT(D88^2+E88^2))</x:f>
      </x:c>
      <x:c r="G88" s="17" t="str">
        <x:f>IF(OR(COUNT(F88,$B$5)&lt;2,$B$5&lt;=0),"",0.5*$B$5*F88^2)</x:f>
      </x:c>
      <x:c r="H88" s="2" t="str">
        <x:f>IF(COUNT(A87:C89)&lt;9,"",IF(OR(A88&lt;=A87,A89&lt;=A88),"Tiempos no crecientes",IF(OR(COUNT($B$5)=0,$B$5&lt;=0),"Completar masa","")))</x:f>
      </x:c>
    </x:row>
    <x:row r="89" ht="23" customHeight="1">
      <x:c r="A89" s="16"/>
      <x:c r="B89" s="16"/>
      <x:c r="C89" s="16"/>
      <x:c r="D89" s="17" t="str">
        <x:f>IF(OR(COUNT(A88:C90)&lt;9,A89&lt;=A88,A90&lt;=A89),"",(B90-B88)/(A90-A88))</x:f>
      </x:c>
      <x:c r="E89" s="17" t="str">
        <x:f>IF(OR(COUNT(A88:C90)&lt;9,A89&lt;=A88,A90&lt;=A89),"",(C90-C88)/(A90-A88))</x:f>
      </x:c>
      <x:c r="F89" s="17" t="str">
        <x:f>IF(COUNT(D89:E89)&lt;2,"",SQRT(D89^2+E89^2))</x:f>
      </x:c>
      <x:c r="G89" s="17" t="str">
        <x:f>IF(OR(COUNT(F89,$B$5)&lt;2,$B$5&lt;=0),"",0.5*$B$5*F89^2)</x:f>
      </x:c>
      <x:c r="H89" s="2" t="str">
        <x:f>IF(COUNT(A88:C90)&lt;9,"",IF(OR(A89&lt;=A88,A90&lt;=A89),"Tiempos no crecientes",IF(OR(COUNT($B$5)=0,$B$5&lt;=0),"Completar masa","")))</x:f>
      </x:c>
    </x:row>
    <x:row r="90" ht="23" customHeight="1">
      <x:c r="A90" s="16"/>
      <x:c r="B90" s="16"/>
      <x:c r="C90" s="16"/>
      <x:c r="D90" s="17" t="str">
        <x:f>IF(OR(COUNT(A89:C91)&lt;9,A90&lt;=A89,A91&lt;=A90),"",(B91-B89)/(A91-A89))</x:f>
      </x:c>
      <x:c r="E90" s="17" t="str">
        <x:f>IF(OR(COUNT(A89:C91)&lt;9,A90&lt;=A89,A91&lt;=A90),"",(C91-C89)/(A91-A89))</x:f>
      </x:c>
      <x:c r="F90" s="17" t="str">
        <x:f>IF(COUNT(D90:E90)&lt;2,"",SQRT(D90^2+E90^2))</x:f>
      </x:c>
      <x:c r="G90" s="17" t="str">
        <x:f>IF(OR(COUNT(F90,$B$5)&lt;2,$B$5&lt;=0),"",0.5*$B$5*F90^2)</x:f>
      </x:c>
      <x:c r="H90" s="2" t="str">
        <x:f>IF(COUNT(A89:C91)&lt;9,"",IF(OR(A90&lt;=A89,A91&lt;=A90),"Tiempos no crecientes",IF(OR(COUNT($B$5)=0,$B$5&lt;=0),"Completar masa","")))</x:f>
      </x:c>
    </x:row>
    <x:row r="91" ht="23" customHeight="1">
      <x:c r="A91" s="16"/>
      <x:c r="B91" s="16"/>
      <x:c r="C91" s="16"/>
      <x:c r="D91" s="17" t="str">
        <x:f>IF(OR(COUNT(A90:C92)&lt;9,A91&lt;=A90,A92&lt;=A91),"",(B92-B90)/(A92-A90))</x:f>
      </x:c>
      <x:c r="E91" s="17" t="str">
        <x:f>IF(OR(COUNT(A90:C92)&lt;9,A91&lt;=A90,A92&lt;=A91),"",(C92-C90)/(A92-A90))</x:f>
      </x:c>
      <x:c r="F91" s="17" t="str">
        <x:f>IF(COUNT(D91:E91)&lt;2,"",SQRT(D91^2+E91^2))</x:f>
      </x:c>
      <x:c r="G91" s="17" t="str">
        <x:f>IF(OR(COUNT(F91,$B$5)&lt;2,$B$5&lt;=0),"",0.5*$B$5*F91^2)</x:f>
      </x:c>
      <x:c r="H91" s="2" t="str">
        <x:f>IF(COUNT(A90:C92)&lt;9,"",IF(OR(A91&lt;=A90,A92&lt;=A91),"Tiempos no crecientes",IF(OR(COUNT($B$5)=0,$B$5&lt;=0),"Completar masa","")))</x:f>
      </x:c>
    </x:row>
    <x:row r="92" ht="23" customHeight="1">
      <x:c r="A92" s="16"/>
      <x:c r="B92" s="16"/>
      <x:c r="C92" s="16"/>
      <x:c r="D92" s="17" t="str">
        <x:f>IF(OR(COUNT(A91:C93)&lt;9,A92&lt;=A91,A93&lt;=A92),"",(B93-B91)/(A93-A91))</x:f>
      </x:c>
      <x:c r="E92" s="17" t="str">
        <x:f>IF(OR(COUNT(A91:C93)&lt;9,A92&lt;=A91,A93&lt;=A92),"",(C93-C91)/(A93-A91))</x:f>
      </x:c>
      <x:c r="F92" s="17" t="str">
        <x:f>IF(COUNT(D92:E92)&lt;2,"",SQRT(D92^2+E92^2))</x:f>
      </x:c>
      <x:c r="G92" s="17" t="str">
        <x:f>IF(OR(COUNT(F92,$B$5)&lt;2,$B$5&lt;=0),"",0.5*$B$5*F92^2)</x:f>
      </x:c>
      <x:c r="H92" s="2" t="str">
        <x:f>IF(COUNT(A91:C93)&lt;9,"",IF(OR(A92&lt;=A91,A93&lt;=A92),"Tiempos no crecientes",IF(OR(COUNT($B$5)=0,$B$5&lt;=0),"Completar masa","")))</x:f>
      </x:c>
    </x:row>
    <x:row r="93" ht="23" customHeight="1">
      <x:c r="A93" s="16"/>
      <x:c r="B93" s="16"/>
      <x:c r="C93" s="16"/>
      <x:c r="D93" s="17" t="str">
        <x:f>IF(OR(COUNT(A92:C94)&lt;9,A93&lt;=A92,A94&lt;=A93),"",(B94-B92)/(A94-A92))</x:f>
      </x:c>
      <x:c r="E93" s="17" t="str">
        <x:f>IF(OR(COUNT(A92:C94)&lt;9,A93&lt;=A92,A94&lt;=A93),"",(C94-C92)/(A94-A92))</x:f>
      </x:c>
      <x:c r="F93" s="17" t="str">
        <x:f>IF(COUNT(D93:E93)&lt;2,"",SQRT(D93^2+E93^2))</x:f>
      </x:c>
      <x:c r="G93" s="17" t="str">
        <x:f>IF(OR(COUNT(F93,$B$5)&lt;2,$B$5&lt;=0),"",0.5*$B$5*F93^2)</x:f>
      </x:c>
      <x:c r="H93" s="2" t="str">
        <x:f>IF(COUNT(A92:C94)&lt;9,"",IF(OR(A93&lt;=A92,A94&lt;=A93),"Tiempos no crecientes",IF(OR(COUNT($B$5)=0,$B$5&lt;=0),"Completar masa","")))</x:f>
      </x:c>
    </x:row>
    <x:row r="94" ht="23" customHeight="1">
      <x:c r="A94" s="16"/>
      <x:c r="B94" s="16"/>
      <x:c r="C94" s="16"/>
      <x:c r="D94" s="17" t="str">
        <x:f>IF(OR(COUNT(A93:C95)&lt;9,A94&lt;=A93,A95&lt;=A94),"",(B95-B93)/(A95-A93))</x:f>
      </x:c>
      <x:c r="E94" s="17" t="str">
        <x:f>IF(OR(COUNT(A93:C95)&lt;9,A94&lt;=A93,A95&lt;=A94),"",(C95-C93)/(A95-A93))</x:f>
      </x:c>
      <x:c r="F94" s="17" t="str">
        <x:f>IF(COUNT(D94:E94)&lt;2,"",SQRT(D94^2+E94^2))</x:f>
      </x:c>
      <x:c r="G94" s="17" t="str">
        <x:f>IF(OR(COUNT(F94,$B$5)&lt;2,$B$5&lt;=0),"",0.5*$B$5*F94^2)</x:f>
      </x:c>
      <x:c r="H94" s="2" t="str">
        <x:f>IF(COUNT(A93:C95)&lt;9,"",IF(OR(A94&lt;=A93,A95&lt;=A94),"Tiempos no crecientes",IF(OR(COUNT($B$5)=0,$B$5&lt;=0),"Completar masa","")))</x:f>
      </x:c>
    </x:row>
    <x:row r="95" ht="23" customHeight="1">
      <x:c r="A95" s="16"/>
      <x:c r="B95" s="16"/>
      <x:c r="C95" s="16"/>
      <x:c r="D95" s="17" t="str">
        <x:f>IF(OR(COUNT(A94:C96)&lt;9,A95&lt;=A94,A96&lt;=A95),"",(B96-B94)/(A96-A94))</x:f>
      </x:c>
      <x:c r="E95" s="17" t="str">
        <x:f>IF(OR(COUNT(A94:C96)&lt;9,A95&lt;=A94,A96&lt;=A95),"",(C96-C94)/(A96-A94))</x:f>
      </x:c>
      <x:c r="F95" s="17" t="str">
        <x:f>IF(COUNT(D95:E95)&lt;2,"",SQRT(D95^2+E95^2))</x:f>
      </x:c>
      <x:c r="G95" s="17" t="str">
        <x:f>IF(OR(COUNT(F95,$B$5)&lt;2,$B$5&lt;=0),"",0.5*$B$5*F95^2)</x:f>
      </x:c>
      <x:c r="H95" s="2" t="str">
        <x:f>IF(COUNT(A94:C96)&lt;9,"",IF(OR(A95&lt;=A94,A96&lt;=A95),"Tiempos no crecientes",IF(OR(COUNT($B$5)=0,$B$5&lt;=0),"Completar masa","")))</x:f>
      </x:c>
    </x:row>
    <x:row r="96" ht="23" customHeight="1">
      <x:c r="A96" s="16"/>
      <x:c r="B96" s="16"/>
      <x:c r="C96" s="16"/>
      <x:c r="D96" s="17" t="str">
        <x:f>IF(OR(COUNT(A95:C97)&lt;9,A96&lt;=A95,A97&lt;=A96),"",(B97-B95)/(A97-A95))</x:f>
      </x:c>
      <x:c r="E96" s="17" t="str">
        <x:f>IF(OR(COUNT(A95:C97)&lt;9,A96&lt;=A95,A97&lt;=A96),"",(C97-C95)/(A97-A95))</x:f>
      </x:c>
      <x:c r="F96" s="17" t="str">
        <x:f>IF(COUNT(D96:E96)&lt;2,"",SQRT(D96^2+E96^2))</x:f>
      </x:c>
      <x:c r="G96" s="17" t="str">
        <x:f>IF(OR(COUNT(F96,$B$5)&lt;2,$B$5&lt;=0),"",0.5*$B$5*F96^2)</x:f>
      </x:c>
      <x:c r="H96" s="2" t="str">
        <x:f>IF(COUNT(A95:C97)&lt;9,"",IF(OR(A96&lt;=A95,A97&lt;=A96),"Tiempos no crecientes",IF(OR(COUNT($B$5)=0,$B$5&lt;=0),"Completar masa","")))</x:f>
      </x:c>
    </x:row>
    <x:row r="97" ht="23" customHeight="1">
      <x:c r="A97" s="16"/>
      <x:c r="B97" s="16"/>
      <x:c r="C97" s="16"/>
      <x:c r="D97" s="17" t="str">
        <x:f>IF(OR(COUNT(A96:C98)&lt;9,A97&lt;=A96,A98&lt;=A97),"",(B98-B96)/(A98-A96))</x:f>
      </x:c>
      <x:c r="E97" s="17" t="str">
        <x:f>IF(OR(COUNT(A96:C98)&lt;9,A97&lt;=A96,A98&lt;=A97),"",(C98-C96)/(A98-A96))</x:f>
      </x:c>
      <x:c r="F97" s="17" t="str">
        <x:f>IF(COUNT(D97:E97)&lt;2,"",SQRT(D97^2+E97^2))</x:f>
      </x:c>
      <x:c r="G97" s="17" t="str">
        <x:f>IF(OR(COUNT(F97,$B$5)&lt;2,$B$5&lt;=0),"",0.5*$B$5*F97^2)</x:f>
      </x:c>
      <x:c r="H97" s="2" t="str">
        <x:f>IF(COUNT(A96:C98)&lt;9,"",IF(OR(A97&lt;=A96,A98&lt;=A97),"Tiempos no crecientes",IF(OR(COUNT($B$5)=0,$B$5&lt;=0),"Completar masa","")))</x:f>
      </x:c>
    </x:row>
    <x:row r="98" ht="23" customHeight="1">
      <x:c r="A98" s="16"/>
      <x:c r="B98" s="16"/>
      <x:c r="C98" s="16"/>
      <x:c r="D98" s="17" t="str">
        <x:f>IF(OR(COUNT(A97:C99)&lt;9,A98&lt;=A97,A99&lt;=A98),"",(B99-B97)/(A99-A97))</x:f>
      </x:c>
      <x:c r="E98" s="17" t="str">
        <x:f>IF(OR(COUNT(A97:C99)&lt;9,A98&lt;=A97,A99&lt;=A98),"",(C99-C97)/(A99-A97))</x:f>
      </x:c>
      <x:c r="F98" s="17" t="str">
        <x:f>IF(COUNT(D98:E98)&lt;2,"",SQRT(D98^2+E98^2))</x:f>
      </x:c>
      <x:c r="G98" s="17" t="str">
        <x:f>IF(OR(COUNT(F98,$B$5)&lt;2,$B$5&lt;=0),"",0.5*$B$5*F98^2)</x:f>
      </x:c>
      <x:c r="H98" s="2" t="str">
        <x:f>IF(COUNT(A97:C99)&lt;9,"",IF(OR(A98&lt;=A97,A99&lt;=A98),"Tiempos no crecientes",IF(OR(COUNT($B$5)=0,$B$5&lt;=0),"Completar masa","")))</x:f>
      </x:c>
    </x:row>
    <x:row r="99" ht="23" customHeight="1">
      <x:c r="A99" s="16"/>
      <x:c r="B99" s="16"/>
      <x:c r="C99" s="16"/>
      <x:c r="D99" s="17" t="str">
        <x:f>IF(OR(COUNT(A98:C100)&lt;9,A99&lt;=A98,A100&lt;=A99),"",(B100-B98)/(A100-A98))</x:f>
      </x:c>
      <x:c r="E99" s="17" t="str">
        <x:f>IF(OR(COUNT(A98:C100)&lt;9,A99&lt;=A98,A100&lt;=A99),"",(C100-C98)/(A100-A98))</x:f>
      </x:c>
      <x:c r="F99" s="17" t="str">
        <x:f>IF(COUNT(D99:E99)&lt;2,"",SQRT(D99^2+E99^2))</x:f>
      </x:c>
      <x:c r="G99" s="17" t="str">
        <x:f>IF(OR(COUNT(F99,$B$5)&lt;2,$B$5&lt;=0),"",0.5*$B$5*F99^2)</x:f>
      </x:c>
      <x:c r="H99" s="2" t="str">
        <x:f>IF(COUNT(A98:C100)&lt;9,"",IF(OR(A99&lt;=A98,A100&lt;=A99),"Tiempos no crecientes",IF(OR(COUNT($B$5)=0,$B$5&lt;=0),"Completar masa","")))</x:f>
      </x:c>
    </x:row>
    <x:row r="100" ht="23" customHeight="1">
      <x:c r="A100" s="16"/>
      <x:c r="B100" s="16"/>
      <x:c r="C100" s="16"/>
      <x:c r="D100" s="17" t="str">
        <x:f>IF(OR(COUNT(A99:C101)&lt;9,A100&lt;=A99,A101&lt;=A100),"",(B101-B99)/(A101-A99))</x:f>
      </x:c>
      <x:c r="E100" s="17" t="str">
        <x:f>IF(OR(COUNT(A99:C101)&lt;9,A100&lt;=A99,A101&lt;=A100),"",(C101-C99)/(A101-A99))</x:f>
      </x:c>
      <x:c r="F100" s="17" t="str">
        <x:f>IF(COUNT(D100:E100)&lt;2,"",SQRT(D100^2+E100^2))</x:f>
      </x:c>
      <x:c r="G100" s="17" t="str">
        <x:f>IF(OR(COUNT(F100,$B$5)&lt;2,$B$5&lt;=0),"",0.5*$B$5*F100^2)</x:f>
      </x:c>
      <x:c r="H100" s="2" t="str">
        <x:f>IF(COUNT(A99:C101)&lt;9,"",IF(OR(A100&lt;=A99,A101&lt;=A100),"Tiempos no crecientes",IF(OR(COUNT($B$5)=0,$B$5&lt;=0),"Completar masa","")))</x:f>
      </x:c>
    </x:row>
    <x:row r="101" ht="23" customHeight="1">
      <x:c r="A101" s="16"/>
      <x:c r="B101" s="16"/>
      <x:c r="C101" s="16"/>
      <x:c r="D101" s="17" t="str">
        <x:f>IF(OR(COUNT(A100:C102)&lt;9,A101&lt;=A100,A102&lt;=A101),"",(B102-B100)/(A102-A100))</x:f>
      </x:c>
      <x:c r="E101" s="17" t="str">
        <x:f>IF(OR(COUNT(A100:C102)&lt;9,A101&lt;=A100,A102&lt;=A101),"",(C102-C100)/(A102-A100))</x:f>
      </x:c>
      <x:c r="F101" s="17" t="str">
        <x:f>IF(COUNT(D101:E101)&lt;2,"",SQRT(D101^2+E101^2))</x:f>
      </x:c>
      <x:c r="G101" s="17" t="str">
        <x:f>IF(OR(COUNT(F101,$B$5)&lt;2,$B$5&lt;=0),"",0.5*$B$5*F101^2)</x:f>
      </x:c>
      <x:c r="H101" s="2" t="str">
        <x:f>IF(COUNT(A100:C102)&lt;9,"",IF(OR(A101&lt;=A100,A102&lt;=A101),"Tiempos no crecientes",IF(OR(COUNT($B$5)=0,$B$5&lt;=0),"Completar masa","")))</x:f>
      </x:c>
    </x:row>
    <x:row r="102" ht="23" customHeight="1">
      <x:c r="A102" s="16"/>
      <x:c r="B102" s="16"/>
      <x:c r="C102" s="16"/>
      <x:c r="D102" s="17" t="str">
        <x:f>IF(OR(COUNT(A101:C103)&lt;9,A102&lt;=A101,A103&lt;=A102),"",(B103-B101)/(A103-A101))</x:f>
      </x:c>
      <x:c r="E102" s="17" t="str">
        <x:f>IF(OR(COUNT(A101:C103)&lt;9,A102&lt;=A101,A103&lt;=A102),"",(C103-C101)/(A103-A101))</x:f>
      </x:c>
      <x:c r="F102" s="17" t="str">
        <x:f>IF(COUNT(D102:E102)&lt;2,"",SQRT(D102^2+E102^2))</x:f>
      </x:c>
      <x:c r="G102" s="17" t="str">
        <x:f>IF(OR(COUNT(F102,$B$5)&lt;2,$B$5&lt;=0),"",0.5*$B$5*F102^2)</x:f>
      </x:c>
      <x:c r="H102" s="2" t="str">
        <x:f>IF(COUNT(A101:C103)&lt;9,"",IF(OR(A102&lt;=A101,A103&lt;=A102),"Tiempos no crecientes",IF(OR(COUNT($B$5)=0,$B$5&lt;=0),"Completar masa","")))</x:f>
      </x:c>
    </x:row>
    <x:row r="103" ht="23" customHeight="1">
      <x:c r="A103" s="16"/>
      <x:c r="B103" s="16"/>
      <x:c r="C103" s="16"/>
      <x:c r="D103" s="17" t="str">
        <x:f>IF(OR(COUNT(A102:C104)&lt;9,A103&lt;=A102,A104&lt;=A103),"",(B104-B102)/(A104-A102))</x:f>
      </x:c>
      <x:c r="E103" s="17" t="str">
        <x:f>IF(OR(COUNT(A102:C104)&lt;9,A103&lt;=A102,A104&lt;=A103),"",(C104-C102)/(A104-A102))</x:f>
      </x:c>
      <x:c r="F103" s="17" t="str">
        <x:f>IF(COUNT(D103:E103)&lt;2,"",SQRT(D103^2+E103^2))</x:f>
      </x:c>
      <x:c r="G103" s="17" t="str">
        <x:f>IF(OR(COUNT(F103,$B$5)&lt;2,$B$5&lt;=0),"",0.5*$B$5*F103^2)</x:f>
      </x:c>
      <x:c r="H103" s="2" t="str">
        <x:f>IF(COUNT(A102:C104)&lt;9,"",IF(OR(A103&lt;=A102,A104&lt;=A103),"Tiempos no crecientes",IF(OR(COUNT($B$5)=0,$B$5&lt;=0),"Completar masa","")))</x:f>
      </x:c>
    </x:row>
    <x:row r="104" ht="23" customHeight="1">
      <x:c r="A104" s="16"/>
      <x:c r="B104" s="16"/>
      <x:c r="C104" s="16"/>
      <x:c r="D104" s="17" t="str">
        <x:f>IF(OR(COUNT(A103:C105)&lt;9,A104&lt;=A103,A105&lt;=A104),"",(B105-B103)/(A105-A103))</x:f>
      </x:c>
      <x:c r="E104" s="17" t="str">
        <x:f>IF(OR(COUNT(A103:C105)&lt;9,A104&lt;=A103,A105&lt;=A104),"",(C105-C103)/(A105-A103))</x:f>
      </x:c>
      <x:c r="F104" s="17" t="str">
        <x:f>IF(COUNT(D104:E104)&lt;2,"",SQRT(D104^2+E104^2))</x:f>
      </x:c>
      <x:c r="G104" s="17" t="str">
        <x:f>IF(OR(COUNT(F104,$B$5)&lt;2,$B$5&lt;=0),"",0.5*$B$5*F104^2)</x:f>
      </x:c>
      <x:c r="H104" s="2" t="str">
        <x:f>IF(COUNT(A103:C105)&lt;9,"",IF(OR(A104&lt;=A103,A105&lt;=A104),"Tiempos no crecientes",IF(OR(COUNT($B$5)=0,$B$5&lt;=0),"Completar masa","")))</x:f>
      </x:c>
    </x:row>
    <x:row r="105" ht="23" customHeight="1">
      <x:c r="A105" s="16"/>
      <x:c r="B105" s="16"/>
      <x:c r="C105" s="16"/>
      <x:c r="D105" s="17" t="str">
        <x:f>IF(OR(COUNT(A104:C106)&lt;9,A105&lt;=A104,A106&lt;=A105),"",(B106-B104)/(A106-A104))</x:f>
      </x:c>
      <x:c r="E105" s="17" t="str">
        <x:f>IF(OR(COUNT(A104:C106)&lt;9,A105&lt;=A104,A106&lt;=A105),"",(C106-C104)/(A106-A104))</x:f>
      </x:c>
      <x:c r="F105" s="17" t="str">
        <x:f>IF(COUNT(D105:E105)&lt;2,"",SQRT(D105^2+E105^2))</x:f>
      </x:c>
      <x:c r="G105" s="17" t="str">
        <x:f>IF(OR(COUNT(F105,$B$5)&lt;2,$B$5&lt;=0),"",0.5*$B$5*F105^2)</x:f>
      </x:c>
      <x:c r="H105" s="2" t="str">
        <x:f>IF(COUNT(A104:C106)&lt;9,"",IF(OR(A105&lt;=A104,A106&lt;=A105),"Tiempos no crecientes",IF(OR(COUNT($B$5)=0,$B$5&lt;=0),"Completar masa","")))</x:f>
      </x:c>
    </x:row>
    <x:row r="106" ht="23" customHeight="1">
      <x:c r="A106" s="16"/>
      <x:c r="B106" s="16"/>
      <x:c r="C106" s="16"/>
      <x:c r="D106" s="17" t="str">
        <x:f>IF(OR(COUNT(A105:C107)&lt;9,A106&lt;=A105,A107&lt;=A106),"",(B107-B105)/(A107-A105))</x:f>
      </x:c>
      <x:c r="E106" s="17" t="str">
        <x:f>IF(OR(COUNT(A105:C107)&lt;9,A106&lt;=A105,A107&lt;=A106),"",(C107-C105)/(A107-A105))</x:f>
      </x:c>
      <x:c r="F106" s="17" t="str">
        <x:f>IF(COUNT(D106:E106)&lt;2,"",SQRT(D106^2+E106^2))</x:f>
      </x:c>
      <x:c r="G106" s="17" t="str">
        <x:f>IF(OR(COUNT(F106,$B$5)&lt;2,$B$5&lt;=0),"",0.5*$B$5*F106^2)</x:f>
      </x:c>
      <x:c r="H106" s="2" t="str">
        <x:f>IF(COUNT(A105:C107)&lt;9,"",IF(OR(A106&lt;=A105,A107&lt;=A106),"Tiempos no crecientes",IF(OR(COUNT($B$5)=0,$B$5&lt;=0),"Completar masa","")))</x:f>
      </x:c>
    </x:row>
    <x:row r="107" ht="23" customHeight="1">
      <x:c r="A107" s="16"/>
      <x:c r="B107" s="16"/>
      <x:c r="C107" s="16"/>
      <x:c r="D107" s="17" t="str">
        <x:f>IF(OR(COUNT(A106:C108)&lt;9,A107&lt;=A106,A108&lt;=A107),"",(B108-B106)/(A108-A106))</x:f>
      </x:c>
      <x:c r="E107" s="17" t="str">
        <x:f>IF(OR(COUNT(A106:C108)&lt;9,A107&lt;=A106,A108&lt;=A107),"",(C108-C106)/(A108-A106))</x:f>
      </x:c>
      <x:c r="F107" s="17" t="str">
        <x:f>IF(COUNT(D107:E107)&lt;2,"",SQRT(D107^2+E107^2))</x:f>
      </x:c>
      <x:c r="G107" s="17" t="str">
        <x:f>IF(OR(COUNT(F107,$B$5)&lt;2,$B$5&lt;=0),"",0.5*$B$5*F107^2)</x:f>
      </x:c>
      <x:c r="H107" s="2" t="str">
        <x:f>IF(COUNT(A106:C108)&lt;9,"",IF(OR(A107&lt;=A106,A108&lt;=A107),"Tiempos no crecientes",IF(OR(COUNT($B$5)=0,$B$5&lt;=0),"Completar masa","")))</x:f>
      </x:c>
    </x:row>
    <x:row r="108" ht="23" customHeight="1">
      <x:c r="A108" s="16"/>
      <x:c r="B108" s="16"/>
      <x:c r="C108" s="16"/>
      <x:c r="D108" s="17" t="str">
        <x:f>IF(OR(COUNT(A107:C109)&lt;9,A108&lt;=A107,A109&lt;=A108),"",(B109-B107)/(A109-A107))</x:f>
      </x:c>
      <x:c r="E108" s="17" t="str">
        <x:f>IF(OR(COUNT(A107:C109)&lt;9,A108&lt;=A107,A109&lt;=A108),"",(C109-C107)/(A109-A107))</x:f>
      </x:c>
      <x:c r="F108" s="17" t="str">
        <x:f>IF(COUNT(D108:E108)&lt;2,"",SQRT(D108^2+E108^2))</x:f>
      </x:c>
      <x:c r="G108" s="17" t="str">
        <x:f>IF(OR(COUNT(F108,$B$5)&lt;2,$B$5&lt;=0),"",0.5*$B$5*F108^2)</x:f>
      </x:c>
      <x:c r="H108" s="2" t="str">
        <x:f>IF(COUNT(A107:C109)&lt;9,"",IF(OR(A108&lt;=A107,A109&lt;=A108),"Tiempos no crecientes",IF(OR(COUNT($B$5)=0,$B$5&lt;=0),"Completar masa","")))</x:f>
      </x:c>
    </x:row>
    <x:row r="109" ht="23" customHeight="1">
      <x:c r="A109" s="16"/>
      <x:c r="B109" s="16"/>
      <x:c r="C109" s="16"/>
      <x:c r="D109" s="17"/>
      <x:c r="E109" s="17"/>
      <x:c r="F109" s="17"/>
      <x:c r="G109" s="17"/>
      <x:c r="H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743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Comparar participantes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Una fila por participante; pegá valores finales, no mezcles intentos.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K(v representativa) no es necesariamente la media de K de sus intentos.</x:v>
      </x:c>
      <x:c r="B5" s="2"/>
      <x:c r="C5" s="2"/>
      <x:c r="D5" s="2"/>
      <x:c r="E5" s="2"/>
      <x:c r="F5" s="2"/>
      <x:c r="G5" s="2"/>
      <x:c r="H5" s="2"/>
    </x:row>
    <x:row r="6" ht="23" customHeight="1">
      <x:c r="A6" s="2" t="str">
        <x:v>La dispersión del grupo incluye diferencias reales entre personas.</x:v>
      </x:c>
      <x:c r="B6" s="2"/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/>
      <x:c r="C8" s="2"/>
      <x:c r="D8" s="2"/>
      <x:c r="E8" s="2"/>
      <x:c r="F8" s="2"/>
      <x:c r="G8" s="2"/>
      <x:c r="H8" s="2"/>
    </x:row>
    <x:row r="9" ht="44" customHeight="1">
      <x:c r="A9" s="9" t="str">
        <x:v>Código</x:v>
      </x:c>
      <x:c r="B9" s="9" t="str">
        <x:v>Masa, kg</x:v>
      </x:c>
      <x:c r="C9" s="9" t="str">
        <x:v>v representativa, m/s</x:v>
      </x:c>
      <x:c r="D9" s="9" t="str">
        <x:v>K(v repr.), J</x:v>
      </x:c>
      <x:c r="E9" s="9" t="str">
        <x:v>Media K intentos, J</x:v>
      </x:c>
      <x:c r="F9" s="9" t="str">
        <x:v>Observaciones</x:v>
      </x:c>
      <x:c r="G9" s="2"/>
      <x:c r="H9" s="2"/>
    </x:row>
    <x:row r="10" ht="23" customHeight="1">
      <x:c r="A10" s="4"/>
      <x:c r="B10" s="5"/>
      <x:c r="C10" s="5"/>
      <x:c r="D10" s="11" t="str">
        <x:f>IF(OR(COUNT(B10:C10)&lt;2,B10&lt;=0,C10&lt;0),"",0.5*B10*C10^2)</x:f>
      </x:c>
      <x:c r="E10" s="5"/>
      <x:c r="F10" s="4"/>
      <x:c r="G10" s="2"/>
      <x:c r="H10" s="2"/>
    </x:row>
    <x:row r="11" ht="23" customHeight="1">
      <x:c r="A11" s="4"/>
      <x:c r="B11" s="5"/>
      <x:c r="C11" s="5"/>
      <x:c r="D11" s="11" t="str">
        <x:f>IF(OR(COUNT(B11:C11)&lt;2,B11&lt;=0,C11&lt;0),"",0.5*B11*C11^2)</x:f>
      </x:c>
      <x:c r="E11" s="5"/>
      <x:c r="F11" s="4"/>
      <x:c r="G11" s="2"/>
      <x:c r="H11" s="2"/>
    </x:row>
    <x:row r="12" ht="23" customHeight="1">
      <x:c r="A12" s="4"/>
      <x:c r="B12" s="5"/>
      <x:c r="C12" s="5"/>
      <x:c r="D12" s="11" t="str">
        <x:f>IF(OR(COUNT(B12:C12)&lt;2,B12&lt;=0,C12&lt;0),"",0.5*B12*C12^2)</x:f>
      </x:c>
      <x:c r="E12" s="5"/>
      <x:c r="F12" s="4"/>
      <x:c r="G12" s="2"/>
      <x:c r="H12" s="2"/>
    </x:row>
    <x:row r="13" ht="23" customHeight="1">
      <x:c r="A13" s="4"/>
      <x:c r="B13" s="5"/>
      <x:c r="C13" s="5"/>
      <x:c r="D13" s="11" t="str">
        <x:f>IF(OR(COUNT(B13:C13)&lt;2,B13&lt;=0,C13&lt;0),"",0.5*B13*C13^2)</x:f>
      </x:c>
      <x:c r="E13" s="5"/>
      <x:c r="F13" s="4"/>
      <x:c r="G13" s="2"/>
      <x:c r="H13" s="2"/>
    </x:row>
    <x:row r="14" ht="23" customHeight="1">
      <x:c r="A14" s="4"/>
      <x:c r="B14" s="5"/>
      <x:c r="C14" s="5"/>
      <x:c r="D14" s="11" t="str">
        <x:f>IF(OR(COUNT(B14:C14)&lt;2,B14&lt;=0,C14&lt;0),"",0.5*B14*C14^2)</x:f>
      </x:c>
      <x:c r="E14" s="5"/>
      <x:c r="F14" s="4"/>
      <x:c r="G14" s="2"/>
      <x:c r="H14" s="2"/>
    </x:row>
    <x:row r="15" ht="23" customHeight="1">
      <x:c r="A15" s="4"/>
      <x:c r="B15" s="5"/>
      <x:c r="C15" s="5"/>
      <x:c r="D15" s="11" t="str">
        <x:f>IF(OR(COUNT(B15:C15)&lt;2,B15&lt;=0,C15&lt;0),"",0.5*B15*C15^2)</x:f>
      </x:c>
      <x:c r="E15" s="5"/>
      <x:c r="F15" s="4"/>
      <x:c r="G15" s="2"/>
      <x:c r="H15" s="2"/>
    </x:row>
    <x:row r="16" ht="23" customHeight="1">
      <x:c r="A16" s="4"/>
      <x:c r="B16" s="5"/>
      <x:c r="C16" s="5"/>
      <x:c r="D16" s="11" t="str">
        <x:f>IF(OR(COUNT(B16:C16)&lt;2,B16&lt;=0,C16&lt;0),"",0.5*B16*C16^2)</x:f>
      </x:c>
      <x:c r="E16" s="5"/>
      <x:c r="F16" s="4"/>
      <x:c r="G16" s="2"/>
      <x:c r="H16" s="2"/>
    </x:row>
    <x:row r="17" ht="23" customHeight="1">
      <x:c r="A17" s="4"/>
      <x:c r="B17" s="5"/>
      <x:c r="C17" s="5"/>
      <x:c r="D17" s="11" t="str">
        <x:f>IF(OR(COUNT(B17:C17)&lt;2,B17&lt;=0,C17&lt;0),"",0.5*B17*C17^2)</x:f>
      </x:c>
      <x:c r="E17" s="5"/>
      <x:c r="F17" s="4"/>
      <x:c r="G17" s="2"/>
      <x:c r="H17" s="2"/>
    </x:row>
    <x:row r="18" ht="23" customHeight="1">
      <x:c r="A18" s="4"/>
      <x:c r="B18" s="5"/>
      <x:c r="C18" s="5"/>
      <x:c r="D18" s="11" t="str">
        <x:f>IF(OR(COUNT(B18:C18)&lt;2,B18&lt;=0,C18&lt;0),"",0.5*B18*C18^2)</x:f>
      </x:c>
      <x:c r="E18" s="5"/>
      <x:c r="F18" s="4"/>
      <x:c r="G18" s="2"/>
      <x:c r="H18" s="2"/>
    </x:row>
    <x:row r="19" ht="23" customHeight="1">
      <x:c r="A19" s="4"/>
      <x:c r="B19" s="5"/>
      <x:c r="C19" s="5"/>
      <x:c r="D19" s="11" t="str">
        <x:f>IF(OR(COUNT(B19:C19)&lt;2,B19&lt;=0,C19&lt;0),"",0.5*B19*C19^2)</x:f>
      </x:c>
      <x:c r="E19" s="5"/>
      <x:c r="F19" s="4"/>
      <x:c r="G19" s="2"/>
      <x:c r="H19" s="2"/>
    </x:row>
    <x:row r="20" ht="23" customHeight="1">
      <x:c r="A20" s="4"/>
      <x:c r="B20" s="5"/>
      <x:c r="C20" s="5"/>
      <x:c r="D20" s="11" t="str">
        <x:f>IF(OR(COUNT(B20:C20)&lt;2,B20&lt;=0,C20&lt;0),"",0.5*B20*C20^2)</x:f>
      </x:c>
      <x:c r="E20" s="5"/>
      <x:c r="F20" s="4"/>
      <x:c r="G20" s="2"/>
      <x:c r="H20" s="2"/>
    </x:row>
    <x:row r="21" ht="23" customHeight="1">
      <x:c r="A21" s="4"/>
      <x:c r="B21" s="5"/>
      <x:c r="C21" s="5"/>
      <x:c r="D21" s="11" t="str">
        <x:f>IF(OR(COUNT(B21:C21)&lt;2,B21&lt;=0,C21&lt;0),"",0.5*B21*C21^2)</x:f>
      </x:c>
      <x:c r="E21" s="5"/>
      <x:c r="F21" s="4"/>
      <x:c r="G21" s="2"/>
      <x:c r="H21" s="2"/>
    </x:row>
    <x:row r="22" ht="23" customHeight="1">
      <x:c r="A22" s="4"/>
      <x:c r="B22" s="5"/>
      <x:c r="C22" s="5"/>
      <x:c r="D22" s="11" t="str">
        <x:f>IF(OR(COUNT(B22:C22)&lt;2,B22&lt;=0,C22&lt;0),"",0.5*B22*C22^2)</x:f>
      </x:c>
      <x:c r="E22" s="5"/>
      <x:c r="F22" s="4"/>
      <x:c r="G22" s="2"/>
      <x:c r="H22" s="2"/>
    </x:row>
    <x:row r="23" ht="23" customHeight="1">
      <x:c r="A23" s="4"/>
      <x:c r="B23" s="5"/>
      <x:c r="C23" s="5"/>
      <x:c r="D23" s="11" t="str">
        <x:f>IF(OR(COUNT(B23:C23)&lt;2,B23&lt;=0,C23&lt;0),"",0.5*B23*C23^2)</x:f>
      </x:c>
      <x:c r="E23" s="5"/>
      <x:c r="F23" s="4"/>
      <x:c r="G23" s="2"/>
      <x:c r="H23" s="2"/>
    </x:row>
    <x:row r="24" ht="23" customHeight="1">
      <x:c r="A24" s="4"/>
      <x:c r="B24" s="5"/>
      <x:c r="C24" s="5"/>
      <x:c r="D24" s="11" t="str">
        <x:f>IF(OR(COUNT(B24:C24)&lt;2,B24&lt;=0,C24&lt;0),"",0.5*B24*C24^2)</x:f>
      </x:c>
      <x:c r="E24" s="5"/>
      <x:c r="F24" s="4"/>
      <x:c r="G24" s="2"/>
      <x:c r="H24" s="2"/>
    </x:row>
    <x:row r="25" ht="23" customHeight="1">
      <x:c r="A25" s="4"/>
      <x:c r="B25" s="5"/>
      <x:c r="C25" s="5"/>
      <x:c r="D25" s="11" t="str">
        <x:f>IF(OR(COUNT(B25:C25)&lt;2,B25&lt;=0,C25&lt;0),"",0.5*B25*C25^2)</x:f>
      </x:c>
      <x:c r="E25" s="5"/>
      <x:c r="F25" s="4"/>
      <x:c r="G25" s="2"/>
      <x:c r="H25" s="2"/>
    </x:row>
    <x:row r="26" ht="23" customHeight="1">
      <x:c r="A26" s="4"/>
      <x:c r="B26" s="5"/>
      <x:c r="C26" s="5"/>
      <x:c r="D26" s="11" t="str">
        <x:f>IF(OR(COUNT(B26:C26)&lt;2,B26&lt;=0,C26&lt;0),"",0.5*B26*C26^2)</x:f>
      </x:c>
      <x:c r="E26" s="5"/>
      <x:c r="F26" s="4"/>
      <x:c r="G26" s="2"/>
      <x:c r="H26" s="2"/>
    </x:row>
    <x:row r="27" ht="23" customHeight="1">
      <x:c r="A27" s="4"/>
      <x:c r="B27" s="5"/>
      <x:c r="C27" s="5"/>
      <x:c r="D27" s="11" t="str">
        <x:f>IF(OR(COUNT(B27:C27)&lt;2,B27&lt;=0,C27&lt;0),"",0.5*B27*C27^2)</x:f>
      </x:c>
      <x:c r="E27" s="5"/>
      <x:c r="F27" s="4"/>
      <x:c r="G27" s="2"/>
      <x:c r="H27" s="2"/>
    </x:row>
    <x:row r="28" ht="23" customHeight="1">
      <x:c r="A28" s="4"/>
      <x:c r="B28" s="5"/>
      <x:c r="C28" s="5"/>
      <x:c r="D28" s="11" t="str">
        <x:f>IF(OR(COUNT(B28:C28)&lt;2,B28&lt;=0,C28&lt;0),"",0.5*B28*C28^2)</x:f>
      </x:c>
      <x:c r="E28" s="5"/>
      <x:c r="F28" s="4"/>
      <x:c r="G28" s="2"/>
      <x:c r="H28" s="2"/>
    </x:row>
    <x:row r="29" ht="23" customHeight="1">
      <x:c r="A29" s="4"/>
      <x:c r="B29" s="5"/>
      <x:c r="C29" s="5"/>
      <x:c r="D29" s="11" t="str">
        <x:f>IF(OR(COUNT(B29:C29)&lt;2,B29&lt;=0,C29&lt;0),"",0.5*B29*C29^2)</x:f>
      </x:c>
      <x:c r="E29" s="5"/>
      <x:c r="F29" s="4"/>
      <x:c r="G29" s="2"/>
      <x:c r="H29" s="2"/>
    </x:row>
    <x:row r="30" ht="23" customHeight="1">
      <x:c r="A30" s="4"/>
      <x:c r="B30" s="5"/>
      <x:c r="C30" s="5"/>
      <x:c r="D30" s="11" t="str">
        <x:f>IF(OR(COUNT(B30:C30)&lt;2,B30&lt;=0,C30&lt;0),"",0.5*B30*C30^2)</x:f>
      </x:c>
      <x:c r="E30" s="5"/>
      <x:c r="F30" s="4"/>
      <x:c r="G30" s="2"/>
      <x:c r="H30" s="2"/>
    </x:row>
    <x:row r="31" ht="23" customHeight="1">
      <x:c r="A31" s="4"/>
      <x:c r="B31" s="5"/>
      <x:c r="C31" s="5"/>
      <x:c r="D31" s="11" t="str">
        <x:f>IF(OR(COUNT(B31:C31)&lt;2,B31&lt;=0,C31&lt;0),"",0.5*B31*C31^2)</x:f>
      </x:c>
      <x:c r="E31" s="5"/>
      <x:c r="F31" s="4"/>
      <x:c r="G31" s="2"/>
      <x:c r="H31" s="2"/>
    </x:row>
    <x:row r="32" ht="23" customHeight="1">
      <x:c r="A32" s="4"/>
      <x:c r="B32" s="5"/>
      <x:c r="C32" s="5"/>
      <x:c r="D32" s="11" t="str">
        <x:f>IF(OR(COUNT(B32:C32)&lt;2,B32&lt;=0,C32&lt;0),"",0.5*B32*C32^2)</x:f>
      </x:c>
      <x:c r="E32" s="5"/>
      <x:c r="F32" s="4"/>
      <x:c r="G32" s="2"/>
      <x:c r="H32" s="2"/>
    </x:row>
    <x:row r="33" ht="23" customHeight="1">
      <x:c r="A33" s="4"/>
      <x:c r="B33" s="5"/>
      <x:c r="C33" s="5"/>
      <x:c r="D33" s="11" t="str">
        <x:f>IF(OR(COUNT(B33:C33)&lt;2,B33&lt;=0,C33&lt;0),"",0.5*B33*C33^2)</x:f>
      </x:c>
      <x:c r="E33" s="5"/>
      <x:c r="F33" s="4"/>
      <x:c r="G33" s="2"/>
      <x:c r="H33" s="2"/>
    </x:row>
    <x:row r="34" ht="23" customHeight="1">
      <x:c r="A34" s="4"/>
      <x:c r="B34" s="5"/>
      <x:c r="C34" s="5"/>
      <x:c r="D34" s="11" t="str">
        <x:f>IF(OR(COUNT(B34:C34)&lt;2,B34&lt;=0,C34&lt;0),"",0.5*B34*C34^2)</x:f>
      </x:c>
      <x:c r="E34" s="5"/>
      <x:c r="F34" s="4"/>
      <x:c r="G34" s="2"/>
      <x:c r="H34" s="2"/>
    </x:row>
    <x:row r="35" ht="23" customHeight="1">
      <x:c r="A35" s="4"/>
      <x:c r="B35" s="5"/>
      <x:c r="C35" s="5"/>
      <x:c r="D35" s="11" t="str">
        <x:f>IF(OR(COUNT(B35:C35)&lt;2,B35&lt;=0,C35&lt;0),"",0.5*B35*C35^2)</x:f>
      </x:c>
      <x:c r="E35" s="5"/>
      <x:c r="F35" s="4"/>
      <x:c r="G35" s="2"/>
      <x:c r="H35" s="2"/>
    </x:row>
    <x:row r="36" ht="23" customHeight="1">
      <x:c r="A36" s="4"/>
      <x:c r="B36" s="5"/>
      <x:c r="C36" s="5"/>
      <x:c r="D36" s="11" t="str">
        <x:f>IF(OR(COUNT(B36:C36)&lt;2,B36&lt;=0,C36&lt;0),"",0.5*B36*C36^2)</x:f>
      </x:c>
      <x:c r="E36" s="5"/>
      <x:c r="F36" s="4"/>
      <x:c r="G36" s="2"/>
      <x:c r="H36" s="2"/>
    </x:row>
    <x:row r="37" ht="23" customHeight="1">
      <x:c r="A37" s="4"/>
      <x:c r="B37" s="5"/>
      <x:c r="C37" s="5"/>
      <x:c r="D37" s="11" t="str">
        <x:f>IF(OR(COUNT(B37:C37)&lt;2,B37&lt;=0,C37&lt;0),"",0.5*B37*C37^2)</x:f>
      </x:c>
      <x:c r="E37" s="5"/>
      <x:c r="F37" s="4"/>
      <x:c r="G37" s="2"/>
      <x:c r="H37" s="2"/>
    </x:row>
    <x:row r="38" ht="23" customHeight="1">
      <x:c r="A38" s="4"/>
      <x:c r="B38" s="5"/>
      <x:c r="C38" s="5"/>
      <x:c r="D38" s="11" t="str">
        <x:f>IF(OR(COUNT(B38:C38)&lt;2,B38&lt;=0,C38&lt;0),"",0.5*B38*C38^2)</x:f>
      </x:c>
      <x:c r="E38" s="5"/>
      <x:c r="F38" s="4"/>
      <x:c r="G38" s="2"/>
      <x:c r="H38" s="2"/>
    </x:row>
    <x:row r="39" ht="23" customHeight="1">
      <x:c r="A39" s="4"/>
      <x:c r="B39" s="5"/>
      <x:c r="C39" s="5"/>
      <x:c r="D39" s="11" t="str">
        <x:f>IF(OR(COUNT(B39:C39)&lt;2,B39&lt;=0,C39&lt;0),"",0.5*B39*C39^2)</x:f>
      </x:c>
      <x:c r="E39" s="5"/>
      <x:c r="F39" s="4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 t="str">
        <x:v>Participantes con cálculo</x:v>
      </x:c>
      <x:c r="B43" s="14" t="n">
        <x:f>COUNT(D10:D39)</x:f>
        <x:v>0</x:v>
      </x:c>
      <x:c r="C43" s="2"/>
      <x:c r="D43" s="2"/>
      <x:c r="E43" s="2"/>
      <x:c r="F43" s="2"/>
      <x:c r="G43" s="2"/>
      <x:c r="H43" s="2"/>
    </x:row>
    <x:row r="44" ht="23" customHeight="1">
      <x:c r="A44" s="2" t="str">
        <x:v>Media de K(v repr.), J</x:v>
      </x:c>
      <x:c r="B44" s="13" t="str">
        <x:f>IF(B43=0,"",AVERAGE(D10:D39))</x:f>
      </x:c>
      <x:c r="C44" s="2"/>
      <x:c r="D44" s="2"/>
      <x:c r="E44" s="2"/>
      <x:c r="F44" s="2"/>
      <x:c r="G44" s="2"/>
      <x:c r="H44" s="2"/>
    </x:row>
    <x:row r="45" ht="23" customHeight="1">
      <x:c r="A45" s="2" t="str">
        <x:v>Mediana de K(v repr.), J</x:v>
      </x:c>
      <x:c r="B45" s="13" t="str">
        <x:f>IF(B43=0,"",MEDIAN(D10:D39))</x:f>
      </x:c>
      <x:c r="C45" s="2"/>
      <x:c r="D45" s="2"/>
      <x:c r="E45" s="2"/>
      <x:c r="F45" s="2"/>
      <x:c r="G45" s="2"/>
      <x:c r="H45" s="2"/>
    </x:row>
    <x:row r="46" ht="23" customHeight="1">
      <x:c r="A46" s="2" t="str">
        <x:v>Desviación muestral, J</x:v>
      </x:c>
      <x:c r="B46" s="13" t="str">
        <x:f>IF(B43&lt;2,"",STDEV(D10:D39))</x:f>
      </x:c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</x:row>
  </x:sheetData>
  <x:pageMargins left="0.7" right="0.7" top="0.75" bottom="0.75" header="0.3" footer="0.3"/>
</x:worksheet>
</file>