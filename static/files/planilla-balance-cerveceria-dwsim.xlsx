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Balance de materia" sheetId="2" state="visible" r:id="rId4"/>
    <sheet name="Bomba" sheetId="3" state="visible" r:id="rId5"/>
    <sheet name="Intercambiador" sheetId="4" state="visible" r:id="rId6"/>
    <sheet name="Fermentador" sheetId="5" state="visible" r:id="rId7"/>
    <sheet name="Comparación DWSIM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<sst xmlns="http://schemas.openxmlformats.org/spreadsheetml/2006/main" count="220" uniqueCount="166">
  <si>
    <t xml:space="preserve">Planta piloto de cerveza — Balance de materia y energía</t>
  </si>
  <si>
    <t xml:space="preserve">Insumo y complemento para simular en DWSIM · sin TACC y sin alcohol (≤0,5 % v/v) · lote 650 L</t>
  </si>
  <si>
    <t xml:space="preserve">Cómo usar esta planilla</t>
  </si>
  <si>
    <t xml:space="preserve">• Esta planilla no reemplaza a DWSIM: es el cálculo a mano que vas verificando en paralelo, equipo por equipo, tal como pide la guía ("Qué entregar").</t>
  </si>
  <si>
    <t xml:space="preserve">• Cada pestaña corresponde a una sección de la guía: Balance de materia, Bomba, Intercambiador y Fermentador. La última pestaña (Comparación) junta los resultados de las cuatro para el entregable final.</t>
  </si>
  <si>
    <t xml:space="preserve">• Las celdas en color CREMA con texto azul son las que completás vos (datos de tu receta o resultados que te da DWSIM). El resto son fórmulas — no las edites, se recalculan solas.</t>
  </si>
  <si>
    <t xml:space="preserve">• Si cambiás el tamaño del lote (celda B6 de la pestaña Balance de materia), todo lo que depende de ese factor de escala se recalcula automáticamente en esa pestaña.</t>
  </si>
  <si>
    <t xml:space="preserve">Referencia de colores</t>
  </si>
  <si>
    <t xml:space="preserve">Dato que completás vos (input)</t>
  </si>
  <si>
    <t xml:space="preserve">ej: 650</t>
  </si>
  <si>
    <t xml:space="preserve">Resultado calculado (fórmula, no tocar)</t>
  </si>
  <si>
    <t xml:space="preserve">Encabezado de sección</t>
  </si>
  <si>
    <t xml:space="preserve">Pestañas de esta planilla</t>
  </si>
  <si>
    <t xml:space="preserve">Balance de materia</t>
  </si>
  <si>
    <t xml:space="preserve">Escalado de la malta, reparto en maltosa/glucosa, entradas conocidas y cierre del balance con los resultados que te da DWSIM.</t>
  </si>
  <si>
    <t xml:space="preserve">Bomba</t>
  </si>
  <si>
    <t xml:space="preserve">Cálculo manual de trabajo, ΔT, potencia y NPSH — mismo ejemplo numérico de la guía, con tus propios valores.</t>
  </si>
  <si>
    <t xml:space="preserve">Intercambiador</t>
  </si>
  <si>
    <t xml:space="preserve">Calor a retirar del mosto y potencia de refrigeración según el tiempo de enfriado que elijas.</t>
  </si>
  <si>
    <t xml:space="preserve">Fermentador</t>
  </si>
  <si>
    <t xml:space="preserve">El cálculo de diseño: qué % de conversión cargar en el reactor de DWSIM para llegar a ≤0,5 % v/v.</t>
  </si>
  <si>
    <t xml:space="preserve">Comparación DWSIM</t>
  </si>
  <si>
    <t xml:space="preserve">Tabla resumen: tu cálculo manual vs. el resultado de DWSIM en cada equipo, con el % de diferencia — para el entregable final.</t>
  </si>
  <si>
    <t xml:space="preserve">Guía completa: profe.lemeit.ar/notes/lab-industrias-7mo/ — sección 2 (Balance de materia), 4 (Bomba), 5 (Intercambiador), 6 (Fermentador).</t>
  </si>
  <si>
    <t xml:space="preserve">Balance de materia del proceso</t>
  </si>
  <si>
    <t xml:space="preserve">Escalado del lote, reparto de azúcares y cierre entradas = salidas</t>
  </si>
  <si>
    <t xml:space="preserve">Escala del lote</t>
  </si>
  <si>
    <t xml:space="preserve">Volumen de lote objetivo (L)</t>
  </si>
  <si>
    <t xml:space="preserve">Volumen base de referencia (L)</t>
  </si>
  <si>
    <t xml:space="preserve">Factor de escala f = lote / base</t>
  </si>
  <si>
    <t xml:space="preserve">Malta (sin TACC) y azúcares fermentables</t>
  </si>
  <si>
    <t xml:space="preserve">Concepto</t>
  </si>
  <si>
    <t xml:space="preserve">Base 20 L (kg)</t>
  </si>
  <si>
    <t xml:space="preserve">Escalado (kg)</t>
  </si>
  <si>
    <t xml:space="preserve">Nota</t>
  </si>
  <si>
    <t xml:space="preserve">Malta total</t>
  </si>
  <si>
    <t xml:space="preserve">Sorgo, mijo, quinoa u otra semilla sin gluten</t>
  </si>
  <si>
    <t xml:space="preserve">% almidón extraíble (del total de malta)</t>
  </si>
  <si>
    <t xml:space="preserve">% maltosa (del almidón)</t>
  </si>
  <si>
    <t xml:space="preserve">% glucosa (del almidón) = 1 − % maltosa</t>
  </si>
  <si>
    <t xml:space="preserve">Almidón total (= extracto fermentable)</t>
  </si>
  <si>
    <t xml:space="preserve">Maltosa</t>
  </si>
  <si>
    <t xml:space="preserve">Va al campo 'maltose' del reactor en DWSIM</t>
  </si>
  <si>
    <t xml:space="preserve">Glucosa</t>
  </si>
  <si>
    <t xml:space="preserve">Va al campo 'Glucose' del reactor en DWSIM</t>
  </si>
  <si>
    <t xml:space="preserve">Malta no convertida (proteínas, cáscara, dextrinas)</t>
  </si>
  <si>
    <t xml:space="preserve">No es azúcar fermentable — sale con el bagazo o queda en la cerveza</t>
  </si>
  <si>
    <t xml:space="preserve">Entradas conocidas (escaladas con el mismo factor f)</t>
  </si>
  <si>
    <t xml:space="preserve">Corriente</t>
  </si>
  <si>
    <t xml:space="preserve">Malta</t>
  </si>
  <si>
    <t xml:space="preserve">Agua (maceración)</t>
  </si>
  <si>
    <t xml:space="preserve">Enzimas</t>
  </si>
  <si>
    <t xml:space="preserve">Levadura + agua de inóculo</t>
  </si>
  <si>
    <t xml:space="preserve">Completá con tu receta</t>
  </si>
  <si>
    <t xml:space="preserve">Lúpulo</t>
  </si>
  <si>
    <t xml:space="preserve">Agente clarificante</t>
  </si>
  <si>
    <t xml:space="preserve">TOTAL ENTRADAS CONOCIDAS</t>
  </si>
  <si>
    <t xml:space="preserve">Salidas — completá con el resultado de DWSIM</t>
  </si>
  <si>
    <t xml:space="preserve">DWSIM (kg)</t>
  </si>
  <si>
    <t xml:space="preserve">Bagazo 1 (filtro)</t>
  </si>
  <si>
    <t xml:space="preserve">Vapor (hervor)</t>
  </si>
  <si>
    <t xml:space="preserve">Sedimentos / bagazo 2</t>
  </si>
  <si>
    <t xml:space="preserve">CO₂ (fermentación)</t>
  </si>
  <si>
    <t xml:space="preserve">Levadura extraída</t>
  </si>
  <si>
    <t xml:space="preserve">Cerveza (producto)</t>
  </si>
  <si>
    <t xml:space="preserve">TOTAL SALIDAS</t>
  </si>
  <si>
    <t xml:space="preserve">Cierre del balance (entradas − salidas)</t>
  </si>
  <si>
    <t xml:space="preserve">% de diferencia</t>
  </si>
  <si>
    <t xml:space="preserve">Con todas las salidas cargadas desde DWSIM, este % debería quedar cerca de 0 — si no, revisá que no falte ninguna corriente de salida en el flowsheet.</t>
  </si>
  <si>
    <t xml:space="preserve">Primer equipo: la bomba</t>
  </si>
  <si>
    <t xml:space="preserve">Trabajo, ΔT, potencia y NPSH — mismo cálculo que 'Qué calcula DWSIM por dentro'</t>
  </si>
  <si>
    <t xml:space="preserve">Datos de la corriente y de la bomba</t>
  </si>
  <si>
    <t xml:space="preserve">Variable</t>
  </si>
  <si>
    <t xml:space="preserve">Valor</t>
  </si>
  <si>
    <t xml:space="preserve">Unidad</t>
  </si>
  <si>
    <t xml:space="preserve">ΔP (aumento de presión)</t>
  </si>
  <si>
    <t xml:space="preserve">Pa</t>
  </si>
  <si>
    <t xml:space="preserve">η (eficiencia de la bomba)</t>
  </si>
  <si>
    <t xml:space="preserve">—</t>
  </si>
  <si>
    <t xml:space="preserve">ρ (densidad del líquido)</t>
  </si>
  <si>
    <t xml:space="preserve">kg/m³</t>
  </si>
  <si>
    <t xml:space="preserve">Cₚ (calor específico)</t>
  </si>
  <si>
    <t xml:space="preserve">kJ/kg·K</t>
  </si>
  <si>
    <t xml:space="preserve">ṁ (caudal másico)</t>
  </si>
  <si>
    <t xml:space="preserve">kg/s</t>
  </si>
  <si>
    <t xml:space="preserve">P₁ (presión de succión)</t>
  </si>
  <si>
    <t xml:space="preserve">P_burbuja (presión de vapor a T₁)</t>
  </si>
  <si>
    <t xml:space="preserve">Tomalo del flash de punto de burbuja en DWSIM (o de tablas de vapor a T₁)</t>
  </si>
  <si>
    <t xml:space="preserve">Cálculo manual</t>
  </si>
  <si>
    <t xml:space="preserve">Resultado</t>
  </si>
  <si>
    <t xml:space="preserve">Fórmula</t>
  </si>
  <si>
    <t xml:space="preserve">w_ideal = ΔP / ρ</t>
  </si>
  <si>
    <t xml:space="preserve">kJ/kg</t>
  </si>
  <si>
    <t xml:space="preserve">w_real = w_ideal / η</t>
  </si>
  <si>
    <t xml:space="preserve">ΔT = (w_real − w_ideal) / Cₚ</t>
  </si>
  <si>
    <t xml:space="preserve">°C</t>
  </si>
  <si>
    <t xml:space="preserve">Power = ṁ · w_real</t>
  </si>
  <si>
    <t xml:space="preserve">kW</t>
  </si>
  <si>
    <t xml:space="preserve">Head = ΔP / (ρ · g)</t>
  </si>
  <si>
    <t xml:space="preserve">m</t>
  </si>
  <si>
    <t xml:space="preserve">NPSH = (P₁ − P_burbuja) / (ρ · g)</t>
  </si>
  <si>
    <t xml:space="preserve">Comparación contra DWSIM</t>
  </si>
  <si>
    <t xml:space="preserve">Manual</t>
  </si>
  <si>
    <t xml:space="preserve">DWSIM</t>
  </si>
  <si>
    <t xml:space="preserve">% diferencia</t>
  </si>
  <si>
    <t xml:space="preserve">ΔT (°C)</t>
  </si>
  <si>
    <t xml:space="preserve">Power (kW)</t>
  </si>
  <si>
    <t xml:space="preserve">NPSH (m)</t>
  </si>
  <si>
    <t xml:space="preserve">Segundo equipo: el intercambiador</t>
  </si>
  <si>
    <t xml:space="preserve">Calor a retirar del mosto y potencia de refrigeración</t>
  </si>
  <si>
    <t xml:space="preserve">Datos de la corriente</t>
  </si>
  <si>
    <t xml:space="preserve">ṁ (caudal del mosto)</t>
  </si>
  <si>
    <t xml:space="preserve">kg</t>
  </si>
  <si>
    <t xml:space="preserve">Cₚ (calor específico del mosto)</t>
  </si>
  <si>
    <t xml:space="preserve">El mosto es &gt;90% agua</t>
  </si>
  <si>
    <t xml:space="preserve">T₁ (temperatura de entrada)</t>
  </si>
  <si>
    <t xml:space="preserve">T₂ (temperatura de salida)</t>
  </si>
  <si>
    <t xml:space="preserve">Tiempo de enfriado elegido</t>
  </si>
  <si>
    <t xml:space="preserve">min</t>
  </si>
  <si>
    <t xml:space="preserve">ΔT = T₁ − T₂</t>
  </si>
  <si>
    <t xml:space="preserve">Q = ṁ · Cₚ · ΔT</t>
  </si>
  <si>
    <t xml:space="preserve">kJ</t>
  </si>
  <si>
    <t xml:space="preserve">Q en kWh</t>
  </si>
  <si>
    <t xml:space="preserve">kWh</t>
  </si>
  <si>
    <t xml:space="preserve">Potencia de refrigeración = Q / tiempo</t>
  </si>
  <si>
    <t xml:space="preserve">DWSIM (Heat Removed)</t>
  </si>
  <si>
    <t xml:space="preserve">Calor retirado (kJ, equivalente)</t>
  </si>
  <si>
    <t xml:space="preserve">Tercer equipo: el fermentador</t>
  </si>
  <si>
    <t xml:space="preserve">Diseño del % de conversión para llegar a ≤0,5 % v/v de alcohol</t>
  </si>
  <si>
    <t xml:space="preserve">Datos del mosto y objetivo de diseño</t>
  </si>
  <si>
    <t xml:space="preserve">Glucosa en el mosto</t>
  </si>
  <si>
    <t xml:space="preserve">Podés traerlo de la pestaña 'Balance de materia'</t>
  </si>
  <si>
    <t xml:space="preserve">Maltosa en el mosto</t>
  </si>
  <si>
    <t xml:space="preserve">Volumen del mosto</t>
  </si>
  <si>
    <t xml:space="preserve">L</t>
  </si>
  <si>
    <t xml:space="preserve">Rendimiento etanol/azúcar (estequiometría)</t>
  </si>
  <si>
    <t xml:space="preserve">kg/kg</t>
  </si>
  <si>
    <t xml:space="preserve">Promedio de las dos reacciones de conversión (glucosa y maltosa)</t>
  </si>
  <si>
    <t xml:space="preserve">Densidad del etanol</t>
  </si>
  <si>
    <t xml:space="preserve">kg/L</t>
  </si>
  <si>
    <t xml:space="preserve">% v/v de alcohol objetivo</t>
  </si>
  <si>
    <t xml:space="preserve">% v/v</t>
  </si>
  <si>
    <t xml:space="preserve">CAA Art. 1080: cerveza sin alcohol ≤ 0,5% v/v</t>
  </si>
  <si>
    <t xml:space="preserve">Cálculo de diseño</t>
  </si>
  <si>
    <t xml:space="preserve">Azúcar total (glucosa + maltosa)</t>
  </si>
  <si>
    <t xml:space="preserve">Etanol a 100% de conversión</t>
  </si>
  <si>
    <t xml:space="preserve">P objetivo (concentración de etanol)</t>
  </si>
  <si>
    <t xml:space="preserve">g/L</t>
  </si>
  <si>
    <t xml:space="preserve">Etanol objetivo (masa)</t>
  </si>
  <si>
    <t xml:space="preserve">CONVERSIÓN NECESARIA</t>
  </si>
  <si>
    <t xml:space="preserve">%</t>
  </si>
  <si>
    <t xml:space="preserve">Cargá este valor en el campo 'Conversion [%]' de las dos reacciones, en DWSIM</t>
  </si>
  <si>
    <t xml:space="preserve">Verificación con el resultado de DWSIM</t>
  </si>
  <si>
    <t xml:space="preserve">Conversion [%] realmente usado en DWSIM</t>
  </si>
  <si>
    <t xml:space="preserve">Etanol resultante en la corriente 'cerveza' (DWSIM)</t>
  </si>
  <si>
    <t xml:space="preserve">% v/v resultante</t>
  </si>
  <si>
    <t xml:space="preserve">¿Cumple ≤ 0,5 % v/v?</t>
  </si>
  <si>
    <t xml:space="preserve">Resumen: manual vs. DWSIM</t>
  </si>
  <si>
    <t xml:space="preserve">Para el entregable — completá las pestañas anteriores primero</t>
  </si>
  <si>
    <t xml:space="preserve">Equipo / resultado</t>
  </si>
  <si>
    <t xml:space="preserve">Bomba — ΔT (°C)</t>
  </si>
  <si>
    <t xml:space="preserve">Bomba — Power (kW)</t>
  </si>
  <si>
    <t xml:space="preserve">Bomba — NPSH (m)</t>
  </si>
  <si>
    <t xml:space="preserve">Intercambiador — Calor retirado (kJ)</t>
  </si>
  <si>
    <t xml:space="preserve">Fermentador — Conversion [%]</t>
  </si>
  <si>
    <t xml:space="preserve">Completá primero los valores de DWSIM en las pestañas Bomba, Intercambiador y Fermentador — esta tabla se arma sola con esos datos. Si algún % de diferencia sale muy grande, revisá el dato de entrada correspondiente antes de asumir que el simulador está mal.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</si>
</sst>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0.00"/>
    <numFmt numFmtId="168" formatCode="0.000"/>
    <numFmt numFmtId="169" formatCode="0.0%"/>
    <numFmt numFmtId="170" formatCode="0.0000"/>
    <numFmt numFmtId="171" formatCode="0.0000000"/>
    <numFmt numFmtId="172" formatCode="0.00%"/>
    <numFmt numFmtId="173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7A4413"/>
      <name val="Arial"/>
      <family val="0"/>
      <charset val="1"/>
    </font>
    <font>
      <i val="true"/>
      <sz val="9"/>
      <color rgb="FF5B4A3A"/>
      <name val="Arial"/>
      <family val="0"/>
      <charset val="1"/>
    </font>
    <font>
      <sz val="10"/>
      <color rgb="FF2B211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2B2118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651C"/>
        <bgColor rgb="FF7A4413"/>
      </patternFill>
    </fill>
    <fill>
      <patternFill patternType="solid">
        <fgColor rgb="FFF1E4D3"/>
        <bgColor rgb="FFFDE9D0"/>
      </patternFill>
    </fill>
    <fill>
      <patternFill patternType="solid">
        <fgColor rgb="FFFDE9D0"/>
        <bgColor rgb="FFF1E4D3"/>
      </patternFill>
    </fill>
    <fill>
      <patternFill patternType="solid">
        <fgColor rgb="FF7A4413"/>
        <bgColor rgb="FF5B4A3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7AE"/>
      </left>
      <right style="thin">
        <color rgb="FFD8C7AE"/>
      </right>
      <top style="thin">
        <color rgb="FFD8C7AE"/>
      </top>
      <bottom style="thin">
        <color rgb="FFD8C7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651C"/>
      <rgbColor rgb="FF800080"/>
      <rgbColor rgb="FF008080"/>
      <rgbColor rgb="FFD8C7AE"/>
      <rgbColor rgb="FF808080"/>
      <rgbColor rgb="FF9999FF"/>
      <rgbColor rgb="FF993366"/>
      <rgbColor rgb="FFFDE9D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1E4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B2118"/>
      <rgbColor rgb="FF7A4413"/>
      <rgbColor rgb="FF993366"/>
      <rgbColor rgb="FF333399"/>
      <rgbColor rgb="FF5B4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8" hidden="false" customHeight="true" outlineLevel="0" collapsed="false">
      <c r="B4" s="3" t="s">
        <v>2</v>
      </c>
      <c r="C4" s="3"/>
      <c r="D4" s="3"/>
      <c r="E4" s="3"/>
      <c r="F4" s="3"/>
    </row>
    <row r="6" customFormat="false" ht="30" hidden="false" customHeight="true" outlineLevel="0" collapsed="false">
      <c r="B6" s="4" t="s">
        <v>3</v>
      </c>
      <c r="C6" s="4"/>
      <c r="D6" s="4"/>
      <c r="E6" s="4"/>
      <c r="F6" s="4"/>
    </row>
    <row r="7" customFormat="false" ht="30" hidden="false" customHeight="true" outlineLevel="0" collapsed="false">
      <c r="B7" s="4" t="s">
        <v>4</v>
      </c>
      <c r="C7" s="4"/>
      <c r="D7" s="4"/>
      <c r="E7" s="4"/>
      <c r="F7" s="4"/>
    </row>
    <row r="8" customFormat="false" ht="30" hidden="false" customHeight="true" outlineLevel="0" collapsed="false">
      <c r="B8" s="4" t="s">
        <v>5</v>
      </c>
      <c r="C8" s="4"/>
      <c r="D8" s="4"/>
      <c r="E8" s="4"/>
      <c r="F8" s="4"/>
    </row>
    <row r="9" customFormat="false" ht="30" hidden="false" customHeight="true" outlineLevel="0" collapsed="false">
      <c r="B9" s="4" t="s">
        <v>6</v>
      </c>
      <c r="C9" s="4"/>
      <c r="D9" s="4"/>
      <c r="E9" s="4"/>
      <c r="F9" s="4"/>
    </row>
    <row r="11" customFormat="false" ht="18" hidden="false" customHeight="true" outlineLevel="0" collapsed="false">
      <c r="B11" s="3" t="s">
        <v>7</v>
      </c>
      <c r="C11" s="3"/>
      <c r="D11" s="3"/>
      <c r="E11" s="3"/>
      <c r="F11" s="3"/>
    </row>
    <row r="13" customFormat="false" ht="15" hidden="false" customHeight="false" outlineLevel="0" collapsed="false">
      <c r="B13" s="5" t="s">
        <v>8</v>
      </c>
      <c r="C13" s="6" t="s">
        <v>9</v>
      </c>
    </row>
    <row r="14" customFormat="false" ht="15" hidden="false" customHeight="false" outlineLevel="0" collapsed="false">
      <c r="B14" s="5" t="s">
        <v>10</v>
      </c>
      <c r="C14" s="7" t="n">
        <f aca="false">3+4</f>
        <v>7</v>
      </c>
    </row>
    <row r="15" customFormat="false" ht="15" hidden="false" customHeight="false" outlineLevel="0" collapsed="false">
      <c r="B15" s="5" t="s">
        <v>11</v>
      </c>
      <c r="C15" s="8"/>
    </row>
    <row r="17" customFormat="false" ht="18" hidden="false" customHeight="true" outlineLevel="0" collapsed="false">
      <c r="B17" s="3" t="s">
        <v>12</v>
      </c>
      <c r="C17" s="3"/>
      <c r="D17" s="3"/>
      <c r="E17" s="3"/>
      <c r="F17" s="3"/>
    </row>
    <row r="19" customFormat="false" ht="27.75" hidden="false" customHeight="true" outlineLevel="0" collapsed="false">
      <c r="B19" s="9" t="s">
        <v>13</v>
      </c>
      <c r="C19" s="4" t="s">
        <v>14</v>
      </c>
      <c r="D19" s="4"/>
      <c r="E19" s="4"/>
      <c r="F19" s="4"/>
    </row>
    <row r="20" customFormat="false" ht="27.75" hidden="false" customHeight="true" outlineLevel="0" collapsed="false">
      <c r="B20" s="9" t="s">
        <v>15</v>
      </c>
      <c r="C20" s="4" t="s">
        <v>16</v>
      </c>
      <c r="D20" s="4"/>
      <c r="E20" s="4"/>
      <c r="F20" s="4"/>
    </row>
    <row r="21" customFormat="false" ht="27.75" hidden="false" customHeight="true" outlineLevel="0" collapsed="false">
      <c r="B21" s="9" t="s">
        <v>17</v>
      </c>
      <c r="C21" s="4" t="s">
        <v>18</v>
      </c>
      <c r="D21" s="4"/>
      <c r="E21" s="4"/>
      <c r="F21" s="4"/>
    </row>
    <row r="22" customFormat="false" ht="27.75" hidden="false" customHeight="true" outlineLevel="0" collapsed="false">
      <c r="B22" s="9" t="s">
        <v>19</v>
      </c>
      <c r="C22" s="4" t="s">
        <v>20</v>
      </c>
      <c r="D22" s="4"/>
      <c r="E22" s="4"/>
      <c r="F22" s="4"/>
    </row>
    <row r="23" customFormat="false" ht="27.75" hidden="false" customHeight="true" outlineLevel="0" collapsed="false">
      <c r="B23" s="9" t="s">
        <v>21</v>
      </c>
      <c r="C23" s="4" t="s">
        <v>22</v>
      </c>
      <c r="D23" s="4"/>
      <c r="E23" s="4"/>
      <c r="F23" s="4"/>
    </row>
    <row r="25" customFormat="false" ht="15" hidden="false" customHeight="true" outlineLevel="0" collapsed="false">
      <c r="B25" s="4" t="s">
        <v>23</v>
      </c>
      <c r="C25" s="4"/>
      <c r="D25" s="4"/>
      <c r="E25" s="4"/>
      <c r="F25" s="4"/>
    </row>
  </sheetData>
  <mergeCells count="15">
    <mergeCell ref="A1:F1"/>
    <mergeCell ref="A2:F2"/>
    <mergeCell ref="B4:F4"/>
    <mergeCell ref="B6:F6"/>
    <mergeCell ref="B7:F7"/>
    <mergeCell ref="B8:F8"/>
    <mergeCell ref="B9:F9"/>
    <mergeCell ref="B11:F11"/>
    <mergeCell ref="B17:F17"/>
    <mergeCell ref="C19:F19"/>
    <mergeCell ref="C20:F20"/>
    <mergeCell ref="C21:F21"/>
    <mergeCell ref="C22:F22"/>
    <mergeCell ref="C23:F23"/>
    <mergeCell ref="B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6"/>
    <col collapsed="false" customWidth="true" hidden="false" outlineLevel="0" max="4" min="4" style="0" width="42"/>
  </cols>
  <sheetData>
    <row r="1" customFormat="false" ht="25.5" hidden="false" customHeight="true" outlineLevel="0" collapsed="false">
      <c r="A1" s="1" t="s">
        <v>24</v>
      </c>
      <c r="B1" s="1"/>
      <c r="C1" s="1"/>
      <c r="D1" s="1"/>
    </row>
    <row r="2" customFormat="false" ht="15.75" hidden="false" customHeight="true" outlineLevel="0" collapsed="false">
      <c r="A2" s="2" t="s">
        <v>25</v>
      </c>
      <c r="B2" s="2"/>
      <c r="C2" s="2"/>
      <c r="D2" s="2"/>
    </row>
    <row r="4" customFormat="false" ht="18" hidden="false" customHeight="true" outlineLevel="0" collapsed="false">
      <c r="A4" s="3" t="s">
        <v>26</v>
      </c>
      <c r="B4" s="3"/>
      <c r="C4" s="3"/>
      <c r="D4" s="3"/>
    </row>
    <row r="6" customFormat="false" ht="15" hidden="false" customHeight="false" outlineLevel="0" collapsed="false">
      <c r="A6" s="5" t="s">
        <v>27</v>
      </c>
      <c r="B6" s="10" t="n">
        <v>650</v>
      </c>
    </row>
    <row r="7" customFormat="false" ht="15" hidden="false" customHeight="false" outlineLevel="0" collapsed="false">
      <c r="A7" s="5" t="s">
        <v>28</v>
      </c>
      <c r="B7" s="10" t="n">
        <v>20</v>
      </c>
    </row>
    <row r="8" customFormat="false" ht="15" hidden="false" customHeight="false" outlineLevel="0" collapsed="false">
      <c r="A8" s="5" t="s">
        <v>29</v>
      </c>
      <c r="B8" s="11" t="n">
        <f aca="false">B6/B7</f>
        <v>32.5</v>
      </c>
    </row>
    <row r="10" customFormat="false" ht="18" hidden="false" customHeight="true" outlineLevel="0" collapsed="false">
      <c r="A10" s="3" t="s">
        <v>30</v>
      </c>
      <c r="B10" s="3"/>
      <c r="C10" s="3"/>
      <c r="D10" s="3"/>
    </row>
    <row r="12" customFormat="false" ht="15" hidden="false" customHeight="false" outlineLevel="0" collapsed="false">
      <c r="A12" s="12" t="s">
        <v>31</v>
      </c>
      <c r="B12" s="12" t="s">
        <v>32</v>
      </c>
      <c r="C12" s="12" t="s">
        <v>33</v>
      </c>
      <c r="D12" s="12" t="s">
        <v>34</v>
      </c>
    </row>
    <row r="13" customFormat="false" ht="15" hidden="false" customHeight="false" outlineLevel="0" collapsed="false">
      <c r="A13" s="5" t="s">
        <v>35</v>
      </c>
      <c r="B13" s="13" t="n">
        <v>5</v>
      </c>
      <c r="C13" s="14" t="n">
        <f aca="false">B13*B8</f>
        <v>162.5</v>
      </c>
      <c r="D13" s="15" t="s">
        <v>36</v>
      </c>
    </row>
    <row r="14" customFormat="false" ht="15" hidden="false" customHeight="false" outlineLevel="0" collapsed="false">
      <c r="A14" s="5" t="s">
        <v>37</v>
      </c>
      <c r="B14" s="16" t="n">
        <v>0.58</v>
      </c>
    </row>
    <row r="15" customFormat="false" ht="15" hidden="false" customHeight="false" outlineLevel="0" collapsed="false">
      <c r="A15" s="5" t="s">
        <v>38</v>
      </c>
      <c r="B15" s="16" t="n">
        <v>0.83</v>
      </c>
    </row>
    <row r="16" customFormat="false" ht="15" hidden="false" customHeight="false" outlineLevel="0" collapsed="false">
      <c r="A16" s="5" t="s">
        <v>39</v>
      </c>
      <c r="B16" s="17" t="n">
        <f aca="false">1-B15</f>
        <v>0.17</v>
      </c>
    </row>
    <row r="17" customFormat="false" ht="15" hidden="false" customHeight="false" outlineLevel="0" collapsed="false">
      <c r="A17" s="5" t="s">
        <v>40</v>
      </c>
      <c r="C17" s="14" t="n">
        <f aca="false">C13*B14</f>
        <v>94.25</v>
      </c>
    </row>
    <row r="18" customFormat="false" ht="15" hidden="false" customHeight="false" outlineLevel="0" collapsed="false">
      <c r="A18" s="5" t="s">
        <v>41</v>
      </c>
      <c r="C18" s="18" t="n">
        <f aca="false">C17*B15</f>
        <v>78.2275</v>
      </c>
      <c r="D18" s="15" t="s">
        <v>42</v>
      </c>
    </row>
    <row r="19" customFormat="false" ht="15" hidden="false" customHeight="false" outlineLevel="0" collapsed="false">
      <c r="A19" s="5" t="s">
        <v>43</v>
      </c>
      <c r="C19" s="18" t="n">
        <f aca="false">C17*B16</f>
        <v>16.0225</v>
      </c>
      <c r="D19" s="15" t="s">
        <v>44</v>
      </c>
    </row>
    <row r="20" customFormat="false" ht="22.35" hidden="false" customHeight="false" outlineLevel="0" collapsed="false">
      <c r="A20" s="5" t="s">
        <v>45</v>
      </c>
      <c r="C20" s="14" t="n">
        <f aca="false">C13-C17</f>
        <v>68.25</v>
      </c>
      <c r="D20" s="15" t="s">
        <v>46</v>
      </c>
    </row>
    <row r="22" customFormat="false" ht="18" hidden="false" customHeight="true" outlineLevel="0" collapsed="false">
      <c r="A22" s="3" t="s">
        <v>47</v>
      </c>
      <c r="B22" s="3"/>
      <c r="C22" s="3"/>
      <c r="D22" s="3"/>
    </row>
    <row r="24" customFormat="false" ht="15" hidden="false" customHeight="false" outlineLevel="0" collapsed="false">
      <c r="A24" s="12" t="s">
        <v>48</v>
      </c>
      <c r="B24" s="12" t="s">
        <v>32</v>
      </c>
      <c r="C24" s="12" t="s">
        <v>33</v>
      </c>
      <c r="D24" s="12" t="s">
        <v>34</v>
      </c>
    </row>
    <row r="25" customFormat="false" ht="15" hidden="false" customHeight="false" outlineLevel="0" collapsed="false">
      <c r="A25" s="5" t="s">
        <v>49</v>
      </c>
      <c r="B25" s="14" t="n">
        <f aca="false">B13</f>
        <v>5</v>
      </c>
      <c r="C25" s="14" t="n">
        <f aca="false">C13</f>
        <v>162.5</v>
      </c>
    </row>
    <row r="26" customFormat="false" ht="15" hidden="false" customHeight="false" outlineLevel="0" collapsed="false">
      <c r="A26" s="5" t="s">
        <v>50</v>
      </c>
      <c r="B26" s="19" t="n">
        <v>14.6154</v>
      </c>
      <c r="C26" s="14" t="n">
        <f aca="false">B26*B8</f>
        <v>475.0005</v>
      </c>
    </row>
    <row r="27" customFormat="false" ht="15" hidden="false" customHeight="false" outlineLevel="0" collapsed="false">
      <c r="A27" s="5" t="s">
        <v>51</v>
      </c>
      <c r="B27" s="20" t="n">
        <v>0.0050154</v>
      </c>
      <c r="C27" s="21" t="n">
        <f aca="false">B27*B8</f>
        <v>0.1630005</v>
      </c>
    </row>
    <row r="28" customFormat="false" ht="15" hidden="false" customHeight="false" outlineLevel="0" collapsed="false">
      <c r="A28" s="5" t="s">
        <v>52</v>
      </c>
      <c r="B28" s="13" t="n">
        <v>0</v>
      </c>
      <c r="C28" s="14" t="n">
        <f aca="false">B28*B8</f>
        <v>0</v>
      </c>
      <c r="D28" s="15" t="s">
        <v>53</v>
      </c>
    </row>
    <row r="29" customFormat="false" ht="15" hidden="false" customHeight="false" outlineLevel="0" collapsed="false">
      <c r="A29" s="5" t="s">
        <v>54</v>
      </c>
      <c r="B29" s="13" t="n">
        <v>0</v>
      </c>
      <c r="C29" s="14" t="n">
        <f aca="false">B29*B8</f>
        <v>0</v>
      </c>
      <c r="D29" s="15" t="s">
        <v>53</v>
      </c>
    </row>
    <row r="30" customFormat="false" ht="15" hidden="false" customHeight="false" outlineLevel="0" collapsed="false">
      <c r="A30" s="5" t="s">
        <v>55</v>
      </c>
      <c r="B30" s="13" t="n">
        <v>0</v>
      </c>
      <c r="C30" s="14" t="n">
        <f aca="false">B30*B8</f>
        <v>0</v>
      </c>
      <c r="D30" s="15" t="s">
        <v>53</v>
      </c>
    </row>
    <row r="31" customFormat="false" ht="15" hidden="false" customHeight="false" outlineLevel="0" collapsed="false">
      <c r="A31" s="9" t="s">
        <v>56</v>
      </c>
      <c r="C31" s="18" t="n">
        <f aca="false">SUM(C25:C30)</f>
        <v>637.6635005</v>
      </c>
    </row>
    <row r="33" customFormat="false" ht="18" hidden="false" customHeight="true" outlineLevel="0" collapsed="false">
      <c r="A33" s="3" t="s">
        <v>57</v>
      </c>
      <c r="B33" s="3"/>
      <c r="C33" s="3"/>
      <c r="D33" s="3"/>
    </row>
    <row r="35" customFormat="false" ht="15" hidden="false" customHeight="false" outlineLevel="0" collapsed="false">
      <c r="A35" s="12" t="s">
        <v>48</v>
      </c>
      <c r="B35" s="12"/>
      <c r="C35" s="12" t="s">
        <v>58</v>
      </c>
      <c r="D35" s="12" t="s">
        <v>34</v>
      </c>
    </row>
    <row r="36" customFormat="false" ht="15" hidden="false" customHeight="false" outlineLevel="0" collapsed="false">
      <c r="A36" s="5" t="s">
        <v>59</v>
      </c>
      <c r="C36" s="13" t="n">
        <v>0</v>
      </c>
    </row>
    <row r="37" customFormat="false" ht="15" hidden="false" customHeight="false" outlineLevel="0" collapsed="false">
      <c r="A37" s="5" t="s">
        <v>60</v>
      </c>
      <c r="C37" s="13" t="n">
        <v>0</v>
      </c>
    </row>
    <row r="38" customFormat="false" ht="15" hidden="false" customHeight="false" outlineLevel="0" collapsed="false">
      <c r="A38" s="5" t="s">
        <v>61</v>
      </c>
      <c r="C38" s="13" t="n">
        <v>0</v>
      </c>
    </row>
    <row r="39" customFormat="false" ht="15" hidden="false" customHeight="false" outlineLevel="0" collapsed="false">
      <c r="A39" s="5" t="s">
        <v>62</v>
      </c>
      <c r="C39" s="13" t="n">
        <v>0</v>
      </c>
    </row>
    <row r="40" customFormat="false" ht="15" hidden="false" customHeight="false" outlineLevel="0" collapsed="false">
      <c r="A40" s="5" t="s">
        <v>63</v>
      </c>
      <c r="C40" s="13" t="n">
        <v>0</v>
      </c>
    </row>
    <row r="41" customFormat="false" ht="15" hidden="false" customHeight="false" outlineLevel="0" collapsed="false">
      <c r="A41" s="5" t="s">
        <v>64</v>
      </c>
      <c r="C41" s="13" t="n">
        <v>0</v>
      </c>
    </row>
    <row r="42" customFormat="false" ht="15" hidden="false" customHeight="false" outlineLevel="0" collapsed="false">
      <c r="A42" s="9" t="s">
        <v>65</v>
      </c>
      <c r="C42" s="18" t="n">
        <f aca="false">SUM(C36:C41)</f>
        <v>0</v>
      </c>
    </row>
    <row r="43" customFormat="false" ht="15" hidden="false" customHeight="false" outlineLevel="0" collapsed="false">
      <c r="A43" s="9" t="s">
        <v>66</v>
      </c>
      <c r="C43" s="18" t="n">
        <f aca="false">C31-C42</f>
        <v>637.6635005</v>
      </c>
    </row>
    <row r="44" customFormat="false" ht="15" hidden="false" customHeight="false" outlineLevel="0" collapsed="false">
      <c r="A44" s="9" t="s">
        <v>67</v>
      </c>
      <c r="C44" s="22" t="n">
        <f aca="false">IFERROR((C31-C42)/C31,"")</f>
        <v>1</v>
      </c>
    </row>
    <row r="45" customFormat="false" ht="22.35" hidden="false" customHeight="true" outlineLevel="0" collapsed="false">
      <c r="A45" s="4" t="s">
        <v>68</v>
      </c>
      <c r="B45" s="4"/>
      <c r="C45" s="4"/>
      <c r="D45" s="4"/>
    </row>
  </sheetData>
  <mergeCells count="7">
    <mergeCell ref="A1:D1"/>
    <mergeCell ref="A2:D2"/>
    <mergeCell ref="A4:D4"/>
    <mergeCell ref="A10:D10"/>
    <mergeCell ref="A22:D22"/>
    <mergeCell ref="A33:D33"/>
    <mergeCell ref="A45:D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34"/>
  </cols>
  <sheetData>
    <row r="1" customFormat="false" ht="25.5" hidden="false" customHeight="true" outlineLevel="0" collapsed="false">
      <c r="A1" s="1" t="s">
        <v>69</v>
      </c>
      <c r="B1" s="1"/>
      <c r="C1" s="1"/>
      <c r="D1" s="1"/>
    </row>
    <row r="2" customFormat="false" ht="15.75" hidden="false" customHeight="true" outlineLevel="0" collapsed="false">
      <c r="A2" s="2" t="s">
        <v>70</v>
      </c>
      <c r="B2" s="2"/>
      <c r="C2" s="2"/>
      <c r="D2" s="2"/>
    </row>
    <row r="4" customFormat="false" ht="18" hidden="false" customHeight="true" outlineLevel="0" collapsed="false">
      <c r="A4" s="3" t="s">
        <v>71</v>
      </c>
      <c r="B4" s="3"/>
      <c r="C4" s="3"/>
      <c r="D4" s="3"/>
    </row>
    <row r="6" customFormat="false" ht="15" hidden="false" customHeight="false" outlineLevel="0" collapsed="false">
      <c r="A6" s="12" t="s">
        <v>72</v>
      </c>
      <c r="B6" s="12" t="s">
        <v>73</v>
      </c>
      <c r="C6" s="12" t="s">
        <v>74</v>
      </c>
      <c r="D6" s="12" t="s">
        <v>34</v>
      </c>
    </row>
    <row r="7" customFormat="false" ht="15" hidden="false" customHeight="false" outlineLevel="0" collapsed="false">
      <c r="A7" s="5" t="s">
        <v>75</v>
      </c>
      <c r="B7" s="13" t="n">
        <v>100000</v>
      </c>
      <c r="C7" s="23" t="s">
        <v>76</v>
      </c>
    </row>
    <row r="8" customFormat="false" ht="15" hidden="false" customHeight="false" outlineLevel="0" collapsed="false">
      <c r="A8" s="5" t="s">
        <v>77</v>
      </c>
      <c r="B8" s="16" t="n">
        <v>0.72</v>
      </c>
      <c r="C8" s="23" t="s">
        <v>78</v>
      </c>
    </row>
    <row r="9" customFormat="false" ht="15" hidden="false" customHeight="false" outlineLevel="0" collapsed="false">
      <c r="A9" s="5" t="s">
        <v>79</v>
      </c>
      <c r="B9" s="13" t="n">
        <v>998</v>
      </c>
      <c r="C9" s="23" t="s">
        <v>80</v>
      </c>
    </row>
    <row r="10" customFormat="false" ht="15" hidden="false" customHeight="false" outlineLevel="0" collapsed="false">
      <c r="A10" s="5" t="s">
        <v>81</v>
      </c>
      <c r="B10" s="13" t="n">
        <v>4.186</v>
      </c>
      <c r="C10" s="23" t="s">
        <v>82</v>
      </c>
    </row>
    <row r="11" customFormat="false" ht="15" hidden="false" customHeight="false" outlineLevel="0" collapsed="false">
      <c r="A11" s="5" t="s">
        <v>83</v>
      </c>
      <c r="B11" s="13" t="n">
        <v>0.5</v>
      </c>
      <c r="C11" s="23" t="s">
        <v>84</v>
      </c>
    </row>
    <row r="12" customFormat="false" ht="15" hidden="false" customHeight="false" outlineLevel="0" collapsed="false">
      <c r="A12" s="5" t="s">
        <v>85</v>
      </c>
      <c r="B12" s="13" t="n">
        <v>101325</v>
      </c>
      <c r="C12" s="23" t="s">
        <v>76</v>
      </c>
    </row>
    <row r="13" customFormat="false" ht="22.35" hidden="false" customHeight="false" outlineLevel="0" collapsed="false">
      <c r="A13" s="5" t="s">
        <v>86</v>
      </c>
      <c r="B13" s="13" t="n">
        <v>2339</v>
      </c>
      <c r="C13" s="23" t="s">
        <v>76</v>
      </c>
      <c r="D13" s="15" t="s">
        <v>87</v>
      </c>
    </row>
    <row r="15" customFormat="false" ht="18" hidden="false" customHeight="true" outlineLevel="0" collapsed="false">
      <c r="A15" s="3" t="s">
        <v>88</v>
      </c>
      <c r="B15" s="3"/>
      <c r="C15" s="3"/>
      <c r="D15" s="3"/>
    </row>
    <row r="17" customFormat="false" ht="15" hidden="false" customHeight="false" outlineLevel="0" collapsed="false">
      <c r="A17" s="12" t="s">
        <v>89</v>
      </c>
      <c r="B17" s="12" t="s">
        <v>73</v>
      </c>
      <c r="C17" s="12" t="s">
        <v>74</v>
      </c>
      <c r="D17" s="12" t="s">
        <v>90</v>
      </c>
    </row>
    <row r="18" customFormat="false" ht="15" hidden="false" customHeight="false" outlineLevel="0" collapsed="false">
      <c r="A18" s="5" t="s">
        <v>91</v>
      </c>
      <c r="B18" s="14" t="n">
        <f aca="false">B7/B9/1000</f>
        <v>0.100200400801603</v>
      </c>
      <c r="C18" s="24" t="s">
        <v>92</v>
      </c>
    </row>
    <row r="19" customFormat="false" ht="15" hidden="false" customHeight="false" outlineLevel="0" collapsed="false">
      <c r="A19" s="5" t="s">
        <v>93</v>
      </c>
      <c r="B19" s="14" t="n">
        <f aca="false">B18/B8</f>
        <v>0.13916722333556</v>
      </c>
      <c r="C19" s="24" t="s">
        <v>92</v>
      </c>
    </row>
    <row r="20" customFormat="false" ht="15" hidden="false" customHeight="false" outlineLevel="0" collapsed="false">
      <c r="A20" s="5" t="s">
        <v>94</v>
      </c>
      <c r="B20" s="21" t="n">
        <f aca="false">(B19-B18)/B10</f>
        <v>0.00930884437027158</v>
      </c>
      <c r="C20" s="24" t="s">
        <v>95</v>
      </c>
    </row>
    <row r="21" customFormat="false" ht="15" hidden="false" customHeight="false" outlineLevel="0" collapsed="false">
      <c r="A21" s="5" t="s">
        <v>96</v>
      </c>
      <c r="B21" s="25" t="n">
        <f aca="false">B11*B19</f>
        <v>0.06958361166778</v>
      </c>
      <c r="C21" s="24" t="s">
        <v>97</v>
      </c>
    </row>
    <row r="22" customFormat="false" ht="15" hidden="false" customHeight="false" outlineLevel="0" collapsed="false">
      <c r="A22" s="5" t="s">
        <v>98</v>
      </c>
      <c r="B22" s="14" t="n">
        <f aca="false">B7/(B9*9.81)</f>
        <v>10.21410813472</v>
      </c>
      <c r="C22" s="24" t="s">
        <v>99</v>
      </c>
    </row>
    <row r="23" customFormat="false" ht="15" hidden="false" customHeight="false" outlineLevel="0" collapsed="false">
      <c r="A23" s="5" t="s">
        <v>100</v>
      </c>
      <c r="B23" s="18" t="n">
        <f aca="false">(B12-B13)/(B9*9.81)</f>
        <v>10.1105370782339</v>
      </c>
      <c r="C23" s="24" t="s">
        <v>99</v>
      </c>
    </row>
    <row r="25" customFormat="false" ht="18" hidden="false" customHeight="true" outlineLevel="0" collapsed="false">
      <c r="A25" s="3" t="s">
        <v>101</v>
      </c>
      <c r="B25" s="3"/>
      <c r="C25" s="3"/>
      <c r="D25" s="3"/>
    </row>
    <row r="27" customFormat="false" ht="15" hidden="false" customHeight="false" outlineLevel="0" collapsed="false">
      <c r="A27" s="12" t="s">
        <v>89</v>
      </c>
      <c r="B27" s="12" t="s">
        <v>102</v>
      </c>
      <c r="C27" s="12" t="s">
        <v>103</v>
      </c>
      <c r="D27" s="12" t="s">
        <v>104</v>
      </c>
    </row>
    <row r="28" customFormat="false" ht="15" hidden="false" customHeight="false" outlineLevel="0" collapsed="false">
      <c r="A28" s="5" t="s">
        <v>105</v>
      </c>
      <c r="B28" s="21" t="n">
        <f aca="false">B20</f>
        <v>0.00930884437027158</v>
      </c>
      <c r="C28" s="19" t="n">
        <v>0</v>
      </c>
      <c r="D28" s="17" t="str">
        <f aca="false">IF(C28=0,"",IFERROR((C28-B28)/B28,""))</f>
        <v/>
      </c>
    </row>
    <row r="29" customFormat="false" ht="15" hidden="false" customHeight="false" outlineLevel="0" collapsed="false">
      <c r="A29" s="5" t="s">
        <v>106</v>
      </c>
      <c r="B29" s="21" t="n">
        <f aca="false">B21</f>
        <v>0.06958361166778</v>
      </c>
      <c r="C29" s="19" t="n">
        <v>0</v>
      </c>
      <c r="D29" s="17" t="str">
        <f aca="false">IF(C29=0,"",IFERROR((C29-B29)/B29,""))</f>
        <v/>
      </c>
    </row>
    <row r="30" customFormat="false" ht="15" hidden="false" customHeight="false" outlineLevel="0" collapsed="false">
      <c r="A30" s="5" t="s">
        <v>107</v>
      </c>
      <c r="B30" s="14" t="n">
        <f aca="false">B23</f>
        <v>10.1105370782339</v>
      </c>
      <c r="C30" s="13" t="n">
        <v>0</v>
      </c>
      <c r="D30" s="17" t="str">
        <f aca="false">IF(C30=0,"",IFERROR((C30-B30)/B30,""))</f>
        <v/>
      </c>
    </row>
  </sheetData>
  <mergeCells count="5">
    <mergeCell ref="A1:D1"/>
    <mergeCell ref="A2:D2"/>
    <mergeCell ref="A4:D4"/>
    <mergeCell ref="A15:D15"/>
    <mergeCell ref="A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6"/>
    <col collapsed="false" customWidth="true" hidden="false" outlineLevel="0" max="4" min="4" style="0" width="34"/>
  </cols>
  <sheetData>
    <row r="1" customFormat="false" ht="25.5" hidden="false" customHeight="true" outlineLevel="0" collapsed="false">
      <c r="A1" s="1" t="s">
        <v>108</v>
      </c>
      <c r="B1" s="1"/>
      <c r="C1" s="1"/>
      <c r="D1" s="1"/>
    </row>
    <row r="2" customFormat="false" ht="15.75" hidden="false" customHeight="true" outlineLevel="0" collapsed="false">
      <c r="A2" s="2" t="s">
        <v>109</v>
      </c>
      <c r="B2" s="2"/>
      <c r="C2" s="2"/>
      <c r="D2" s="2"/>
    </row>
    <row r="4" customFormat="false" ht="18" hidden="false" customHeight="true" outlineLevel="0" collapsed="false">
      <c r="A4" s="3" t="s">
        <v>110</v>
      </c>
      <c r="B4" s="3"/>
      <c r="C4" s="3"/>
      <c r="D4" s="3"/>
    </row>
    <row r="6" customFormat="false" ht="15" hidden="false" customHeight="false" outlineLevel="0" collapsed="false">
      <c r="A6" s="12" t="s">
        <v>72</v>
      </c>
      <c r="B6" s="12" t="s">
        <v>73</v>
      </c>
      <c r="C6" s="12" t="s">
        <v>74</v>
      </c>
      <c r="D6" s="12" t="s">
        <v>34</v>
      </c>
    </row>
    <row r="7" customFormat="false" ht="15" hidden="false" customHeight="false" outlineLevel="0" collapsed="false">
      <c r="A7" s="5" t="s">
        <v>111</v>
      </c>
      <c r="B7" s="13" t="n">
        <v>700</v>
      </c>
      <c r="C7" s="23" t="s">
        <v>112</v>
      </c>
    </row>
    <row r="8" customFormat="false" ht="15" hidden="false" customHeight="false" outlineLevel="0" collapsed="false">
      <c r="A8" s="5" t="s">
        <v>113</v>
      </c>
      <c r="B8" s="13" t="n">
        <v>4</v>
      </c>
      <c r="C8" s="23" t="s">
        <v>82</v>
      </c>
      <c r="D8" s="15" t="s">
        <v>114</v>
      </c>
    </row>
    <row r="9" customFormat="false" ht="15" hidden="false" customHeight="false" outlineLevel="0" collapsed="false">
      <c r="A9" s="5" t="s">
        <v>115</v>
      </c>
      <c r="B9" s="13" t="n">
        <v>100</v>
      </c>
      <c r="C9" s="23" t="s">
        <v>95</v>
      </c>
    </row>
    <row r="10" customFormat="false" ht="15" hidden="false" customHeight="false" outlineLevel="0" collapsed="false">
      <c r="A10" s="5" t="s">
        <v>116</v>
      </c>
      <c r="B10" s="13" t="n">
        <v>20</v>
      </c>
      <c r="C10" s="23" t="s">
        <v>95</v>
      </c>
    </row>
    <row r="11" customFormat="false" ht="15" hidden="false" customHeight="false" outlineLevel="0" collapsed="false">
      <c r="A11" s="5" t="s">
        <v>117</v>
      </c>
      <c r="B11" s="13" t="n">
        <v>30</v>
      </c>
      <c r="C11" s="23" t="s">
        <v>118</v>
      </c>
    </row>
    <row r="13" customFormat="false" ht="18" hidden="false" customHeight="true" outlineLevel="0" collapsed="false">
      <c r="A13" s="3" t="s">
        <v>88</v>
      </c>
      <c r="B13" s="3"/>
      <c r="C13" s="3"/>
      <c r="D13" s="3"/>
    </row>
    <row r="15" customFormat="false" ht="15" hidden="false" customHeight="false" outlineLevel="0" collapsed="false">
      <c r="A15" s="12" t="s">
        <v>89</v>
      </c>
      <c r="B15" s="12" t="s">
        <v>73</v>
      </c>
      <c r="C15" s="12" t="s">
        <v>74</v>
      </c>
      <c r="D15" s="12" t="s">
        <v>90</v>
      </c>
    </row>
    <row r="16" customFormat="false" ht="15" hidden="false" customHeight="false" outlineLevel="0" collapsed="false">
      <c r="A16" s="5" t="s">
        <v>119</v>
      </c>
      <c r="B16" s="26" t="n">
        <f aca="false">B9-B10</f>
        <v>80</v>
      </c>
      <c r="C16" s="24" t="s">
        <v>95</v>
      </c>
    </row>
    <row r="17" customFormat="false" ht="15" hidden="false" customHeight="false" outlineLevel="0" collapsed="false">
      <c r="A17" s="5" t="s">
        <v>120</v>
      </c>
      <c r="B17" s="27" t="n">
        <f aca="false">B7*B8*B16</f>
        <v>224000</v>
      </c>
      <c r="C17" s="24" t="s">
        <v>121</v>
      </c>
    </row>
    <row r="18" customFormat="false" ht="15" hidden="false" customHeight="false" outlineLevel="0" collapsed="false">
      <c r="A18" s="5" t="s">
        <v>122</v>
      </c>
      <c r="B18" s="28" t="n">
        <f aca="false">B17/3600</f>
        <v>62.2222222222222</v>
      </c>
      <c r="C18" s="24" t="s">
        <v>123</v>
      </c>
    </row>
    <row r="19" customFormat="false" ht="15" hidden="false" customHeight="false" outlineLevel="0" collapsed="false">
      <c r="A19" s="5" t="s">
        <v>124</v>
      </c>
      <c r="B19" s="11" t="n">
        <f aca="false">B17/(B11*60)</f>
        <v>124.444444444444</v>
      </c>
      <c r="C19" s="24" t="s">
        <v>97</v>
      </c>
    </row>
    <row r="21" customFormat="false" ht="18" hidden="false" customHeight="true" outlineLevel="0" collapsed="false">
      <c r="A21" s="3" t="s">
        <v>101</v>
      </c>
      <c r="B21" s="3"/>
      <c r="C21" s="3"/>
      <c r="D21" s="3"/>
    </row>
    <row r="23" customFormat="false" ht="15" hidden="false" customHeight="false" outlineLevel="0" collapsed="false">
      <c r="A23" s="12" t="s">
        <v>89</v>
      </c>
      <c r="B23" s="12" t="s">
        <v>102</v>
      </c>
      <c r="C23" s="12" t="s">
        <v>125</v>
      </c>
      <c r="D23" s="12" t="s">
        <v>104</v>
      </c>
    </row>
    <row r="24" customFormat="false" ht="15" hidden="false" customHeight="false" outlineLevel="0" collapsed="false">
      <c r="A24" s="5" t="s">
        <v>126</v>
      </c>
      <c r="B24" s="29" t="n">
        <f aca="false">B17</f>
        <v>224000</v>
      </c>
      <c r="C24" s="10" t="n">
        <v>0</v>
      </c>
      <c r="D24" s="17" t="str">
        <f aca="false">IF(C24=0,"",IFERROR((C24-B24)/B24,""))</f>
        <v/>
      </c>
    </row>
  </sheetData>
  <mergeCells count="5">
    <mergeCell ref="A1:D1"/>
    <mergeCell ref="A2:D2"/>
    <mergeCell ref="A4:D4"/>
    <mergeCell ref="A13:D13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  <col collapsed="false" customWidth="true" hidden="false" outlineLevel="0" max="4" min="4" style="0" width="34"/>
  </cols>
  <sheetData>
    <row r="1" customFormat="false" ht="25.5" hidden="false" customHeight="true" outlineLevel="0" collapsed="false">
      <c r="A1" s="1" t="s">
        <v>127</v>
      </c>
      <c r="B1" s="1"/>
      <c r="C1" s="1"/>
      <c r="D1" s="1"/>
    </row>
    <row r="2" customFormat="false" ht="15.75" hidden="false" customHeight="true" outlineLevel="0" collapsed="false">
      <c r="A2" s="2" t="s">
        <v>128</v>
      </c>
      <c r="B2" s="2"/>
      <c r="C2" s="2"/>
      <c r="D2" s="2"/>
    </row>
    <row r="4" customFormat="false" ht="18" hidden="false" customHeight="true" outlineLevel="0" collapsed="false">
      <c r="A4" s="3" t="s">
        <v>129</v>
      </c>
      <c r="B4" s="3"/>
      <c r="C4" s="3"/>
      <c r="D4" s="3"/>
    </row>
    <row r="6" customFormat="false" ht="15" hidden="false" customHeight="false" outlineLevel="0" collapsed="false">
      <c r="A6" s="12" t="s">
        <v>72</v>
      </c>
      <c r="B6" s="12" t="s">
        <v>73</v>
      </c>
      <c r="C6" s="12" t="s">
        <v>74</v>
      </c>
      <c r="D6" s="12" t="s">
        <v>34</v>
      </c>
    </row>
    <row r="7" customFormat="false" ht="22.35" hidden="false" customHeight="false" outlineLevel="0" collapsed="false">
      <c r="A7" s="5" t="s">
        <v>130</v>
      </c>
      <c r="B7" s="13" t="n">
        <v>6.4</v>
      </c>
      <c r="C7" s="23" t="s">
        <v>112</v>
      </c>
      <c r="D7" s="15" t="s">
        <v>131</v>
      </c>
    </row>
    <row r="8" customFormat="false" ht="15" hidden="false" customHeight="false" outlineLevel="0" collapsed="false">
      <c r="A8" s="5" t="s">
        <v>132</v>
      </c>
      <c r="B8" s="13" t="n">
        <v>63.2</v>
      </c>
      <c r="C8" s="23" t="s">
        <v>112</v>
      </c>
    </row>
    <row r="9" customFormat="false" ht="15" hidden="false" customHeight="false" outlineLevel="0" collapsed="false">
      <c r="A9" s="5" t="s">
        <v>133</v>
      </c>
      <c r="B9" s="13" t="n">
        <v>700</v>
      </c>
      <c r="C9" s="23" t="s">
        <v>134</v>
      </c>
    </row>
    <row r="10" customFormat="false" ht="22.35" hidden="false" customHeight="false" outlineLevel="0" collapsed="false">
      <c r="A10" s="5" t="s">
        <v>135</v>
      </c>
      <c r="B10" s="13" t="n">
        <v>0.53</v>
      </c>
      <c r="C10" s="23" t="s">
        <v>136</v>
      </c>
      <c r="D10" s="15" t="s">
        <v>137</v>
      </c>
    </row>
    <row r="11" customFormat="false" ht="15" hidden="false" customHeight="false" outlineLevel="0" collapsed="false">
      <c r="A11" s="5" t="s">
        <v>138</v>
      </c>
      <c r="B11" s="13" t="n">
        <v>0.789</v>
      </c>
      <c r="C11" s="23" t="s">
        <v>139</v>
      </c>
    </row>
    <row r="12" customFormat="false" ht="22.35" hidden="false" customHeight="false" outlineLevel="0" collapsed="false">
      <c r="A12" s="5" t="s">
        <v>140</v>
      </c>
      <c r="B12" s="30" t="n">
        <v>0.005</v>
      </c>
      <c r="C12" s="23" t="s">
        <v>141</v>
      </c>
      <c r="D12" s="15" t="s">
        <v>142</v>
      </c>
    </row>
    <row r="14" customFormat="false" ht="18" hidden="false" customHeight="true" outlineLevel="0" collapsed="false">
      <c r="A14" s="3" t="s">
        <v>143</v>
      </c>
      <c r="B14" s="3"/>
      <c r="C14" s="3"/>
      <c r="D14" s="3"/>
    </row>
    <row r="16" customFormat="false" ht="15" hidden="false" customHeight="false" outlineLevel="0" collapsed="false">
      <c r="A16" s="12" t="s">
        <v>89</v>
      </c>
      <c r="B16" s="12" t="s">
        <v>73</v>
      </c>
      <c r="C16" s="12" t="s">
        <v>74</v>
      </c>
      <c r="D16" s="12" t="s">
        <v>90</v>
      </c>
    </row>
    <row r="17" customFormat="false" ht="15" hidden="false" customHeight="false" outlineLevel="0" collapsed="false">
      <c r="A17" s="5" t="s">
        <v>144</v>
      </c>
      <c r="B17" s="14" t="n">
        <f aca="false">B7+B8</f>
        <v>69.6</v>
      </c>
      <c r="C17" s="24" t="s">
        <v>112</v>
      </c>
    </row>
    <row r="18" customFormat="false" ht="15" hidden="false" customHeight="false" outlineLevel="0" collapsed="false">
      <c r="A18" s="5" t="s">
        <v>145</v>
      </c>
      <c r="B18" s="14" t="n">
        <f aca="false">B17*B10</f>
        <v>36.888</v>
      </c>
      <c r="C18" s="24" t="s">
        <v>112</v>
      </c>
    </row>
    <row r="19" customFormat="false" ht="15" hidden="false" customHeight="false" outlineLevel="0" collapsed="false">
      <c r="A19" s="5" t="s">
        <v>146</v>
      </c>
      <c r="B19" s="28" t="n">
        <f aca="false">B12*B11*1000</f>
        <v>3.945</v>
      </c>
      <c r="C19" s="24" t="s">
        <v>147</v>
      </c>
    </row>
    <row r="20" customFormat="false" ht="15" hidden="false" customHeight="false" outlineLevel="0" collapsed="false">
      <c r="A20" s="5" t="s">
        <v>148</v>
      </c>
      <c r="B20" s="14" t="n">
        <f aca="false">B19*B9/1000</f>
        <v>2.7615</v>
      </c>
      <c r="C20" s="24" t="s">
        <v>112</v>
      </c>
    </row>
    <row r="21" customFormat="false" ht="22.35" hidden="false" customHeight="false" outlineLevel="0" collapsed="false">
      <c r="A21" s="5" t="s">
        <v>149</v>
      </c>
      <c r="B21" s="31" t="n">
        <f aca="false">IFERROR(B20/B18,"")</f>
        <v>0.0748617436564737</v>
      </c>
      <c r="C21" s="24" t="s">
        <v>150</v>
      </c>
      <c r="D21" s="15" t="s">
        <v>151</v>
      </c>
    </row>
    <row r="23" customFormat="false" ht="18" hidden="false" customHeight="true" outlineLevel="0" collapsed="false">
      <c r="A23" s="3" t="s">
        <v>152</v>
      </c>
      <c r="B23" s="3"/>
      <c r="C23" s="3"/>
      <c r="D23" s="3"/>
    </row>
    <row r="25" customFormat="false" ht="15" hidden="false" customHeight="false" outlineLevel="0" collapsed="false">
      <c r="A25" s="12" t="s">
        <v>72</v>
      </c>
      <c r="B25" s="12" t="s">
        <v>73</v>
      </c>
      <c r="C25" s="12" t="s">
        <v>74</v>
      </c>
      <c r="D25" s="12" t="s">
        <v>34</v>
      </c>
    </row>
    <row r="26" customFormat="false" ht="15" hidden="false" customHeight="false" outlineLevel="0" collapsed="false">
      <c r="A26" s="5" t="s">
        <v>153</v>
      </c>
      <c r="B26" s="16" t="n">
        <v>0</v>
      </c>
    </row>
    <row r="27" customFormat="false" ht="15" hidden="false" customHeight="false" outlineLevel="0" collapsed="false">
      <c r="A27" s="5" t="s">
        <v>154</v>
      </c>
      <c r="B27" s="13" t="n">
        <v>0</v>
      </c>
      <c r="C27" s="24" t="s">
        <v>112</v>
      </c>
    </row>
    <row r="28" customFormat="false" ht="15" hidden="false" customHeight="false" outlineLevel="0" collapsed="false">
      <c r="A28" s="5" t="s">
        <v>155</v>
      </c>
      <c r="B28" s="22" t="str">
        <f aca="false">IF(B27=0,"",IFERROR((B27/B11)/B9*100,""))</f>
        <v/>
      </c>
    </row>
    <row r="29" customFormat="false" ht="15" hidden="false" customHeight="false" outlineLevel="0" collapsed="false">
      <c r="A29" s="5" t="s">
        <v>156</v>
      </c>
      <c r="B29" s="7" t="str">
        <f aca="false">IF(B28="","",IF(B28&lt;=B12,"Sí","No — bajá el Conversion% y volvé a correr"))</f>
        <v/>
      </c>
    </row>
  </sheetData>
  <mergeCells count="5">
    <mergeCell ref="A1:D1"/>
    <mergeCell ref="A2:D2"/>
    <mergeCell ref="A4:D4"/>
    <mergeCell ref="A14:D14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25.5" hidden="false" customHeight="true" outlineLevel="0" collapsed="false">
      <c r="A1" s="1" t="s">
        <v>157</v>
      </c>
      <c r="B1" s="1"/>
      <c r="C1" s="1"/>
      <c r="D1" s="1"/>
    </row>
    <row r="2" customFormat="false" ht="15.75" hidden="false" customHeight="true" outlineLevel="0" collapsed="false">
      <c r="A2" s="2" t="s">
        <v>158</v>
      </c>
      <c r="B2" s="2"/>
      <c r="C2" s="2"/>
      <c r="D2" s="2"/>
    </row>
    <row r="4" customFormat="false" ht="15" hidden="false" customHeight="false" outlineLevel="0" collapsed="false">
      <c r="A4" s="12" t="s">
        <v>159</v>
      </c>
      <c r="B4" s="12" t="s">
        <v>88</v>
      </c>
      <c r="C4" s="12" t="s">
        <v>103</v>
      </c>
      <c r="D4" s="12" t="s">
        <v>104</v>
      </c>
    </row>
    <row r="5" customFormat="false" ht="15" hidden="false" customHeight="false" outlineLevel="0" collapsed="false">
      <c r="A5" s="5" t="s">
        <v>160</v>
      </c>
      <c r="B5" s="21" t="n">
        <f aca="false">Bomba!B20</f>
        <v>0.00930884437027158</v>
      </c>
      <c r="C5" s="21" t="n">
        <f aca="false">Bomba!C28</f>
        <v>0</v>
      </c>
      <c r="D5" s="17" t="str">
        <f aca="false">IF(C5=0,"",IFERROR((C5-B5)/B5,""))</f>
        <v/>
      </c>
    </row>
    <row r="6" customFormat="false" ht="15" hidden="false" customHeight="false" outlineLevel="0" collapsed="false">
      <c r="A6" s="5" t="s">
        <v>161</v>
      </c>
      <c r="B6" s="21" t="n">
        <f aca="false">Bomba!B21</f>
        <v>0.06958361166778</v>
      </c>
      <c r="C6" s="21" t="n">
        <f aca="false">Bomba!C29</f>
        <v>0</v>
      </c>
      <c r="D6" s="17" t="str">
        <f aca="false">IF(C6=0,"",IFERROR((C6-B6)/B6,""))</f>
        <v/>
      </c>
    </row>
    <row r="7" customFormat="false" ht="15" hidden="false" customHeight="false" outlineLevel="0" collapsed="false">
      <c r="A7" s="5" t="s">
        <v>162</v>
      </c>
      <c r="B7" s="14" t="n">
        <f aca="false">Bomba!B23</f>
        <v>10.1105370782339</v>
      </c>
      <c r="C7" s="14" t="n">
        <f aca="false">Bomba!C30</f>
        <v>0</v>
      </c>
      <c r="D7" s="17" t="str">
        <f aca="false">IF(C7=0,"",IFERROR((C7-B7)/B7,""))</f>
        <v/>
      </c>
    </row>
    <row r="8" customFormat="false" ht="15" hidden="false" customHeight="false" outlineLevel="0" collapsed="false">
      <c r="A8" s="5" t="s">
        <v>163</v>
      </c>
      <c r="B8" s="29" t="n">
        <f aca="false">Intercambiador!B17</f>
        <v>224000</v>
      </c>
      <c r="C8" s="29" t="n">
        <f aca="false">Intercambiador!C24</f>
        <v>0</v>
      </c>
      <c r="D8" s="17" t="str">
        <f aca="false">IF(C8=0,"",IFERROR((C8-B8)/B8,""))</f>
        <v/>
      </c>
    </row>
    <row r="9" customFormat="false" ht="15" hidden="false" customHeight="false" outlineLevel="0" collapsed="false">
      <c r="A9" s="5" t="s">
        <v>164</v>
      </c>
      <c r="B9" s="32" t="n">
        <f aca="false">Fermentador!B21</f>
        <v>0.0748617436564737</v>
      </c>
      <c r="C9" s="32" t="n">
        <f aca="false">Fermentador!B26</f>
        <v>0</v>
      </c>
      <c r="D9" s="17" t="str">
        <f aca="false">IF(C9=0,"",IFERROR((C9-B9)/B9,""))</f>
        <v/>
      </c>
    </row>
    <row r="11" customFormat="false" ht="30" hidden="false" customHeight="true" outlineLevel="0" collapsed="false">
      <c r="A11" s="4" t="s">
        <v>165</v>
      </c>
      <c r="B11" s="4"/>
      <c r="C11" s="4"/>
      <c r="D11" s="4"/>
    </row>
  </sheetData>
  <mergeCells count="3">
    <mergeCell ref="A1:D1"/>
    <mergeCell ref="A2:D2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2026-09-04T15:04:01Z</dcterms:created>
  <dc:creator>openpyxl</dc:creator>
  <dc:description/>
  <dc:language>en-US</dc:language>
  <cp:lastModifiedBy/>
  <dcterms:modified xsi:type="dcterms:W3CDTF">2026-09-04T15:04:01Z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