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Balance de materia" sheetId="2" state="visible" r:id="rId4"/>
    <sheet name="Bomba" sheetId="3" state="visible" r:id="rId5"/>
    <sheet name="Intercambiador" sheetId="4" state="visible" r:id="rId6"/>
    <sheet name="Fermentador" sheetId="5" state="visible" r:id="rId7"/>
    <sheet name="Comparación DWSI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<sst xmlns="http://schemas.openxmlformats.org/spreadsheetml/2006/main" count="260" uniqueCount="179">
  <si>
    <t xml:space="preserve">Planta piloto de cerveza — Balance de materia y energía</t>
  </si>
  <si>
    <t xml:space="preserve">Insumo y complemento para simular en DWSIM · sin TACC y sin alcohol (≤0,5 % v/v) · fermentador de 600 L</t>
  </si>
  <si>
    <t xml:space="preserve">Cómo usar esta planilla</t>
  </si>
  <si>
    <t xml:space="preserve">• Esta planilla no reemplaza a DWSIM: es el cálculo a mano que vas verificando en paralelo, equipo por equipo, tal como pide la guía ("Qué entregar").</t>
  </si>
  <si>
    <t xml:space="preserve">• Cada pestaña corresponde a una sección de la guía: Balance de materia, Bomba, Intercambiador y Fermentador. La última pestaña (Comparación) junta los resultados de las cuatro para el entregable final.</t>
  </si>
  <si>
    <t xml:space="preserve">• Las celdas en color CREMA con texto azul son las que completás vos (datos de tu receta o resultados que te da DWSIM). El resto son fórmulas — no las edites, se recalculan solas.</t>
  </si>
  <si>
    <t xml:space="preserve">• El balance de materia se calcula hacia atrás a partir del volumen del fermentador (celda B6 de la pestaña Balance de materia, 600 L por defecto): cambiá ese único dato y toda la planilla se recalcula sola, sin perder la coherencia entre las corrientes.</t>
  </si>
  <si>
    <t xml:space="preserve">Referencia de colores</t>
  </si>
  <si>
    <t xml:space="preserve">Dato que completás vos (input)</t>
  </si>
  <si>
    <t xml:space="preserve">ej: 650</t>
  </si>
  <si>
    <t xml:space="preserve">Resultado calculado (fórmula, no tocar)</t>
  </si>
  <si>
    <t xml:space="preserve">Encabezado de sección</t>
  </si>
  <si>
    <t xml:space="preserve">Pestañas de esta planilla</t>
  </si>
  <si>
    <t xml:space="preserve">Balance de materia</t>
  </si>
  <si>
    <t xml:space="preserve">Escalado de la malta, reparto en maltosa/glucosa, entradas conocidas y cierre del balance con los resultados que te da DWSIM.</t>
  </si>
  <si>
    <t xml:space="preserve">Bomba</t>
  </si>
  <si>
    <t xml:space="preserve">Cálculo manual de trabajo, ΔT, potencia y NPSH — mismo ejemplo numérico de la guía, con tus propios valores.</t>
  </si>
  <si>
    <t xml:space="preserve">Intercambiador</t>
  </si>
  <si>
    <t xml:space="preserve">Calor a retirar del mosto y potencia de refrigeración según el tiempo de enfriado que elijas.</t>
  </si>
  <si>
    <t xml:space="preserve">Fermentador</t>
  </si>
  <si>
    <t xml:space="preserve">El cálculo de diseño: qué % de conversión cargar en el reactor de DWSIM para llegar a ≤0,5 % v/v.</t>
  </si>
  <si>
    <t xml:space="preserve">Comparación DWSIM</t>
  </si>
  <si>
    <t xml:space="preserve">Tabla resumen: tu cálculo manual vs. el resultado de DWSIM en cada equipo, con el % de diferencia — para el entregable final.</t>
  </si>
  <si>
    <t xml:space="preserve">Guía completa: profe.lemeit.ar/notes/lab-industrias-7mo/ — sección 2 (Balance de materia), 4 (Bomba), 5 (Intercambiador), 6 (Fermentador).</t>
  </si>
  <si>
    <t xml:space="preserve">Balance de materia del proceso</t>
  </si>
  <si>
    <t xml:space="preserve">Calculado hacia atrás desde el volumen del fermentador — cierra por construcción</t>
  </si>
  <si>
    <t xml:space="preserve">Punto de partida: el fermentador</t>
  </si>
  <si>
    <t xml:space="preserve">Variable</t>
  </si>
  <si>
    <t xml:space="preserve">Valor</t>
  </si>
  <si>
    <t xml:space="preserve">Unidad</t>
  </si>
  <si>
    <t xml:space="preserve">Nota</t>
  </si>
  <si>
    <t xml:space="preserve">Volumen del fermentador</t>
  </si>
  <si>
    <t xml:space="preserve">L</t>
  </si>
  <si>
    <t xml:space="preserve">El dato de equipo que fija todo el balance — pensado para el resto de la planta y el cálculo de costos</t>
  </si>
  <si>
    <t xml:space="preserve">Concentración de azúcar en el mosto</t>
  </si>
  <si>
    <t xml:space="preserve">—</t>
  </si>
  <si>
    <t xml:space="preserve">Mosto de fuerza moderada, se va a fermentar poco de todas formas</t>
  </si>
  <si>
    <t xml:space="preserve">ρ mosto (densidad)</t>
  </si>
  <si>
    <t xml:space="preserve">kg/L</t>
  </si>
  <si>
    <t xml:space="preserve">Azúcar total = Vol × conc. × ρ</t>
  </si>
  <si>
    <t xml:space="preserve">kg</t>
  </si>
  <si>
    <t xml:space="preserve">Split maltosa / glucosa (hidrólisis del almidón)</t>
  </si>
  <si>
    <t xml:space="preserve">% maltosa (del azúcar total)</t>
  </si>
  <si>
    <t xml:space="preserve">Córdova, ESPOCH (2021)</t>
  </si>
  <si>
    <t xml:space="preserve">% glucosa = 1 − % maltosa</t>
  </si>
  <si>
    <t xml:space="preserve">Maltosa</t>
  </si>
  <si>
    <t xml:space="preserve">Va al campo 'maltose' del reactor en DWSIM</t>
  </si>
  <si>
    <t xml:space="preserve">Glucosa</t>
  </si>
  <si>
    <t xml:space="preserve">Va al campo 'Glucose' del reactor en DWSIM</t>
  </si>
  <si>
    <t xml:space="preserve">Malta y agua de maceración</t>
  </si>
  <si>
    <t xml:space="preserve">% almidón extraíble (de la malta)</t>
  </si>
  <si>
    <t xml:space="preserve">El resto — proteínas, cáscara, dextrinas — no fermenta, sale como bagazo o queda de cuerpo</t>
  </si>
  <si>
    <t xml:space="preserve">Malta necesaria = azúcar total / % almidón</t>
  </si>
  <si>
    <t xml:space="preserve">Relación agua / malta</t>
  </si>
  <si>
    <t xml:space="preserve">L/kg</t>
  </si>
  <si>
    <t xml:space="preserve">Agua de macerado = malta × relación</t>
  </si>
  <si>
    <t xml:space="preserve">Agua de relleno antes del hervor</t>
  </si>
  <si>
    <t xml:space="preserve">% de agua que se evapora en el hervor</t>
  </si>
  <si>
    <t xml:space="preserve">Agua final en el mosto frío (= Vol·ρ − azúcares)</t>
  </si>
  <si>
    <t xml:space="preserve">Agua total antes del hervor = agua final / (1 − % evap.)</t>
  </si>
  <si>
    <t xml:space="preserve">Agua de hervido (relleno) = agua total − agua macerado</t>
  </si>
  <si>
    <t xml:space="preserve">Entradas conocidas</t>
  </si>
  <si>
    <t xml:space="preserve">Corriente</t>
  </si>
  <si>
    <t xml:space="preserve">Cantidad (kg)</t>
  </si>
  <si>
    <t xml:space="preserve">Malta (sin TACC)</t>
  </si>
  <si>
    <t xml:space="preserve">Agua de macerado</t>
  </si>
  <si>
    <t xml:space="preserve">Agua de hervido (relleno)</t>
  </si>
  <si>
    <t xml:space="preserve">Enzimas</t>
  </si>
  <si>
    <t xml:space="preserve">≈0,10 kg — completá con tu receta si tenés un dato más preciso</t>
  </si>
  <si>
    <t xml:space="preserve">Levadura + agua de inóculo</t>
  </si>
  <si>
    <t xml:space="preserve">Completá con tu receta</t>
  </si>
  <si>
    <t xml:space="preserve">Lúpulo</t>
  </si>
  <si>
    <t xml:space="preserve">Agente clarificante</t>
  </si>
  <si>
    <t xml:space="preserve">TOTAL ENTRADAS CONOCIDAS</t>
  </si>
  <si>
    <t xml:space="preserve">Salidas — completá con el resultado de DWSIM</t>
  </si>
  <si>
    <t xml:space="preserve">DWSIM (kg)</t>
  </si>
  <si>
    <t xml:space="preserve">Bagazo 1 (filtro)</t>
  </si>
  <si>
    <t xml:space="preserve">Vapor (hervor)</t>
  </si>
  <si>
    <t xml:space="preserve">Sedimentos / bagazo 2</t>
  </si>
  <si>
    <t xml:space="preserve">CO₂ (fermentación)</t>
  </si>
  <si>
    <t xml:space="preserve">Levadura extraída</t>
  </si>
  <si>
    <t xml:space="preserve">Cerveza (producto)</t>
  </si>
  <si>
    <t xml:space="preserve">TOTAL SALIDAS</t>
  </si>
  <si>
    <t xml:space="preserve">Cierre del balance (entradas − salidas)</t>
  </si>
  <si>
    <t xml:space="preserve">% de diferencia</t>
  </si>
  <si>
    <t xml:space="preserve">Con todas las salidas cargadas desde DWSIM, este % debería quedar cerca de 0 — si no, revisá que no falte ninguna corriente de salida en el flowsheet.</t>
  </si>
  <si>
    <t xml:space="preserve">Primer equipo: la bomba</t>
  </si>
  <si>
    <t xml:space="preserve">Trabajo, ΔT, potencia y NPSH — mismo cálculo que 'Qué calcula DWSIM por dentro'</t>
  </si>
  <si>
    <t xml:space="preserve">Datos de la corriente y de la bomba</t>
  </si>
  <si>
    <t xml:space="preserve">ΔP (aumento de presión)</t>
  </si>
  <si>
    <t xml:space="preserve">Pa</t>
  </si>
  <si>
    <t xml:space="preserve">η (eficiencia de la bomba)</t>
  </si>
  <si>
    <t xml:space="preserve">ρ (densidad del líquido)</t>
  </si>
  <si>
    <t xml:space="preserve">kg/m³</t>
  </si>
  <si>
    <t xml:space="preserve">Cₚ (calor específico)</t>
  </si>
  <si>
    <t xml:space="preserve">kJ/kg·K</t>
  </si>
  <si>
    <t xml:space="preserve">ṁ (caudal másico)</t>
  </si>
  <si>
    <t xml:space="preserve">kg/s</t>
  </si>
  <si>
    <t xml:space="preserve">P₁ (presión de succión)</t>
  </si>
  <si>
    <t xml:space="preserve">P_burbuja (presión de vapor a T₁)</t>
  </si>
  <si>
    <t xml:space="preserve">Tomalo del flash de punto de burbuja en DWSIM (o de tablas de vapor a T₁)</t>
  </si>
  <si>
    <t xml:space="preserve">Cálculo manual</t>
  </si>
  <si>
    <t xml:space="preserve">Resultado</t>
  </si>
  <si>
    <t xml:space="preserve">Fórmula</t>
  </si>
  <si>
    <t xml:space="preserve">w_ideal = ΔP / ρ</t>
  </si>
  <si>
    <t xml:space="preserve">kJ/kg</t>
  </si>
  <si>
    <t xml:space="preserve">w_real = w_ideal / η</t>
  </si>
  <si>
    <t xml:space="preserve">ΔT = (w_real − w_ideal) / Cₚ</t>
  </si>
  <si>
    <t xml:space="preserve">°C</t>
  </si>
  <si>
    <t xml:space="preserve">Power = ṁ · w_real</t>
  </si>
  <si>
    <t xml:space="preserve">kW</t>
  </si>
  <si>
    <t xml:space="preserve">Head = ΔP / (ρ · g)</t>
  </si>
  <si>
    <t xml:space="preserve">m</t>
  </si>
  <si>
    <t xml:space="preserve">NPSH = (P₁ − P_burbuja) / (ρ · g)</t>
  </si>
  <si>
    <t xml:space="preserve">Comparación contra DWSIM</t>
  </si>
  <si>
    <t xml:space="preserve">Manual</t>
  </si>
  <si>
    <t xml:space="preserve">DWSIM</t>
  </si>
  <si>
    <t xml:space="preserve">% diferencia</t>
  </si>
  <si>
    <t xml:space="preserve">ΔT (°C)</t>
  </si>
  <si>
    <t xml:space="preserve">Power (kW)</t>
  </si>
  <si>
    <t xml:space="preserve">NPSH (m)</t>
  </si>
  <si>
    <t xml:space="preserve">Segundo equipo: el intercambiador</t>
  </si>
  <si>
    <t xml:space="preserve">Calor a retirar del mosto y potencia de refrigeración</t>
  </si>
  <si>
    <t xml:space="preserve">Datos de la corriente</t>
  </si>
  <si>
    <t xml:space="preserve">ṁ (caudal del mosto)</t>
  </si>
  <si>
    <t xml:space="preserve">Mosto-4 de la guía: 600,0 kg para un fermentador de 600 L</t>
  </si>
  <si>
    <t xml:space="preserve">Cₚ (calor específico del mosto)</t>
  </si>
  <si>
    <t xml:space="preserve">El mosto es ~90% agua</t>
  </si>
  <si>
    <t xml:space="preserve">T₁ (temperatura de entrada)</t>
  </si>
  <si>
    <t xml:space="preserve">T₂ (temperatura de salida)</t>
  </si>
  <si>
    <t xml:space="preserve">Tiempo de enfriado elegido</t>
  </si>
  <si>
    <t xml:space="preserve">min</t>
  </si>
  <si>
    <t xml:space="preserve">ΔT = T₁ − T₂</t>
  </si>
  <si>
    <t xml:space="preserve">Q = ṁ · Cₚ · ΔT</t>
  </si>
  <si>
    <t xml:space="preserve">kJ</t>
  </si>
  <si>
    <t xml:space="preserve">Q en kWh</t>
  </si>
  <si>
    <t xml:space="preserve">kWh</t>
  </si>
  <si>
    <t xml:space="preserve">Potencia de refrigeración = Q / tiempo</t>
  </si>
  <si>
    <t xml:space="preserve">DWSIM (Heat Removed)</t>
  </si>
  <si>
    <t xml:space="preserve">Calor retirado (kJ, equivalente)</t>
  </si>
  <si>
    <t xml:space="preserve">Tercer equipo: el fermentador</t>
  </si>
  <si>
    <t xml:space="preserve">Diseño del % de conversión para llegar a ≤0,5 % v/v de alcohol</t>
  </si>
  <si>
    <t xml:space="preserve">Datos del mosto y objetivo de diseño</t>
  </si>
  <si>
    <t xml:space="preserve">Glucosa en el mosto</t>
  </si>
  <si>
    <t xml:space="preserve">Traído de la pestaña 'Balance de materia' (Glucosa)</t>
  </si>
  <si>
    <t xml:space="preserve">Maltosa en el mosto</t>
  </si>
  <si>
    <t xml:space="preserve">Traído de la pestaña 'Balance de materia' (Maltosa)</t>
  </si>
  <si>
    <t xml:space="preserve">Volumen del mosto</t>
  </si>
  <si>
    <t xml:space="preserve">El volumen del fermentador (pestaña 'Balance de materia')</t>
  </si>
  <si>
    <t xml:space="preserve">Rendimiento etanol/azúcar (estequiometría)</t>
  </si>
  <si>
    <t xml:space="preserve">kg/kg</t>
  </si>
  <si>
    <t xml:space="preserve">Promedio de las dos reacciones de conversión (glucosa y maltosa)</t>
  </si>
  <si>
    <t xml:space="preserve">Densidad del etanol</t>
  </si>
  <si>
    <t xml:space="preserve">% v/v de alcohol objetivo</t>
  </si>
  <si>
    <t xml:space="preserve">% v/v</t>
  </si>
  <si>
    <t xml:space="preserve">CAA Art. 1080: cerveza sin alcohol ≤ 0,5% v/v</t>
  </si>
  <si>
    <t xml:space="preserve">Cálculo de diseño</t>
  </si>
  <si>
    <t xml:space="preserve">Azúcar total (glucosa + maltosa)</t>
  </si>
  <si>
    <t xml:space="preserve">Etanol a 100% de conversión</t>
  </si>
  <si>
    <t xml:space="preserve">P objetivo (concentración de etanol)</t>
  </si>
  <si>
    <t xml:space="preserve">g/L</t>
  </si>
  <si>
    <t xml:space="preserve">Etanol objetivo (masa)</t>
  </si>
  <si>
    <t xml:space="preserve">CONVERSIÓN NECESARIA</t>
  </si>
  <si>
    <t xml:space="preserve">%</t>
  </si>
  <si>
    <t xml:space="preserve">Cargá este valor en el campo 'Conversion [%]' de las dos reacciones, en DWSIM</t>
  </si>
  <si>
    <t xml:space="preserve">Verificación con el resultado de DWSIM</t>
  </si>
  <si>
    <t xml:space="preserve">Conversion [%] realmente usado en DWSIM</t>
  </si>
  <si>
    <t xml:space="preserve">Etanol resultante en la corriente 'cerveza' (DWSIM)</t>
  </si>
  <si>
    <t xml:space="preserve">% v/v resultante</t>
  </si>
  <si>
    <t xml:space="preserve">¿Cumple ≤ 0,5 % v/v?</t>
  </si>
  <si>
    <t xml:space="preserve">Resumen: manual vs. DWSIM</t>
  </si>
  <si>
    <t xml:space="preserve">Para el entregable — completá las pestañas anteriores primero</t>
  </si>
  <si>
    <t xml:space="preserve">Equipo / resultado</t>
  </si>
  <si>
    <t xml:space="preserve">Bomba — ΔT (°C)</t>
  </si>
  <si>
    <t xml:space="preserve">Bomba — Power (kW)</t>
  </si>
  <si>
    <t xml:space="preserve">Bomba — NPSH (m)</t>
  </si>
  <si>
    <t xml:space="preserve">Intercambiador — Calor retirado (kJ)</t>
  </si>
  <si>
    <t xml:space="preserve">Fermentador — Conversion [%]</t>
  </si>
  <si>
    <t xml:space="preserve">Completá primero los valores de DWSIM en las pestañas Bomba, Intercambiador y Fermentador — esta tabla se arma sola con esos datos. Si algún % de diferencia sale muy grande, revisá el dato de entrada correspondiente antes de asumir que el simulador está mal.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</si>
</sst>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0"/>
    <numFmt numFmtId="167" formatCode="0.0%"/>
    <numFmt numFmtId="168" formatCode="0.00"/>
    <numFmt numFmtId="169" formatCode="0.00%"/>
    <numFmt numFmtId="170" formatCode="0.0000"/>
    <numFmt numFmtId="171" formatCode="0.0"/>
    <numFmt numFmtId="172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7A4413"/>
      <name val="Arial"/>
      <family val="0"/>
      <charset val="1"/>
    </font>
    <font>
      <i val="true"/>
      <sz val="9"/>
      <color rgb="FF5B4A3A"/>
      <name val="Arial"/>
      <family val="0"/>
      <charset val="1"/>
    </font>
    <font>
      <sz val="10"/>
      <color rgb="FF2B211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B211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651C"/>
        <bgColor rgb="FF7A4413"/>
      </patternFill>
    </fill>
    <fill>
      <patternFill patternType="solid">
        <fgColor rgb="FFF1E4D3"/>
        <bgColor rgb="FFFDE9D0"/>
      </patternFill>
    </fill>
    <fill>
      <patternFill patternType="solid">
        <fgColor rgb="FFFDE9D0"/>
        <bgColor rgb="FFF1E4D3"/>
      </patternFill>
    </fill>
    <fill>
      <patternFill patternType="solid">
        <fgColor rgb="FF7A4413"/>
        <bgColor rgb="FF5B4A3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7AE"/>
      </left>
      <right style="thin">
        <color rgb="FFD8C7AE"/>
      </right>
      <top style="thin">
        <color rgb="FFD8C7AE"/>
      </top>
      <bottom style="thin">
        <color rgb="FFD8C7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651C"/>
      <rgbColor rgb="FF800080"/>
      <rgbColor rgb="FF008080"/>
      <rgbColor rgb="FFD8C7AE"/>
      <rgbColor rgb="FF808080"/>
      <rgbColor rgb="FF9999FF"/>
      <rgbColor rgb="FF993366"/>
      <rgbColor rgb="FFFDE9D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E4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B2118"/>
      <rgbColor rgb="FF7A4413"/>
      <rgbColor rgb="FF993366"/>
      <rgbColor rgb="FF333399"/>
      <rgbColor rgb="FF5B4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B4" s="3" t="s">
        <v>2</v>
      </c>
      <c r="C4" s="3"/>
      <c r="D4" s="3"/>
      <c r="E4" s="3"/>
      <c r="F4" s="3"/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</row>
    <row r="7" customFormat="false" ht="30" hidden="false" customHeight="true" outlineLevel="0" collapsed="false">
      <c r="B7" s="4" t="s">
        <v>4</v>
      </c>
      <c r="C7" s="4"/>
      <c r="D7" s="4"/>
      <c r="E7" s="4"/>
      <c r="F7" s="4"/>
    </row>
    <row r="8" customFormat="false" ht="30" hidden="false" customHeight="true" outlineLevel="0" collapsed="false">
      <c r="B8" s="4" t="s">
        <v>5</v>
      </c>
      <c r="C8" s="4"/>
      <c r="D8" s="4"/>
      <c r="E8" s="4"/>
      <c r="F8" s="4"/>
    </row>
    <row r="9" customFormat="false" ht="30" hidden="false" customHeight="true" outlineLevel="0" collapsed="false">
      <c r="B9" s="4" t="s">
        <v>6</v>
      </c>
      <c r="C9" s="4"/>
      <c r="D9" s="4"/>
      <c r="E9" s="4"/>
      <c r="F9" s="4"/>
    </row>
    <row r="11" customFormat="false" ht="18" hidden="false" customHeight="true" outlineLevel="0" collapsed="false">
      <c r="B11" s="3" t="s">
        <v>7</v>
      </c>
      <c r="C11" s="3"/>
      <c r="D11" s="3"/>
      <c r="E11" s="3"/>
      <c r="F11" s="3"/>
    </row>
    <row r="13" customFormat="false" ht="15" hidden="false" customHeight="false" outlineLevel="0" collapsed="false">
      <c r="B13" s="5" t="s">
        <v>8</v>
      </c>
      <c r="C13" s="6" t="s">
        <v>9</v>
      </c>
    </row>
    <row r="14" customFormat="false" ht="15" hidden="false" customHeight="false" outlineLevel="0" collapsed="false">
      <c r="B14" s="5" t="s">
        <v>10</v>
      </c>
      <c r="C14" s="7" t="n">
        <f aca="false">3+4</f>
        <v>7</v>
      </c>
    </row>
    <row r="15" customFormat="false" ht="15" hidden="false" customHeight="false" outlineLevel="0" collapsed="false">
      <c r="B15" s="5" t="s">
        <v>11</v>
      </c>
      <c r="C15" s="8"/>
    </row>
    <row r="17" customFormat="false" ht="18" hidden="false" customHeight="true" outlineLevel="0" collapsed="false">
      <c r="B17" s="3" t="s">
        <v>12</v>
      </c>
      <c r="C17" s="3"/>
      <c r="D17" s="3"/>
      <c r="E17" s="3"/>
      <c r="F17" s="3"/>
    </row>
    <row r="19" customFormat="false" ht="27.75" hidden="false" customHeight="true" outlineLevel="0" collapsed="false">
      <c r="B19" s="9" t="s">
        <v>13</v>
      </c>
      <c r="C19" s="4" t="s">
        <v>14</v>
      </c>
      <c r="D19" s="4"/>
      <c r="E19" s="4"/>
      <c r="F19" s="4"/>
    </row>
    <row r="20" customFormat="false" ht="27.75" hidden="false" customHeight="true" outlineLevel="0" collapsed="false">
      <c r="B20" s="9" t="s">
        <v>15</v>
      </c>
      <c r="C20" s="4" t="s">
        <v>16</v>
      </c>
      <c r="D20" s="4"/>
      <c r="E20" s="4"/>
      <c r="F20" s="4"/>
    </row>
    <row r="21" customFormat="false" ht="27.75" hidden="false" customHeight="true" outlineLevel="0" collapsed="false">
      <c r="B21" s="9" t="s">
        <v>17</v>
      </c>
      <c r="C21" s="4" t="s">
        <v>18</v>
      </c>
      <c r="D21" s="4"/>
      <c r="E21" s="4"/>
      <c r="F21" s="4"/>
    </row>
    <row r="22" customFormat="false" ht="27.75" hidden="false" customHeight="true" outlineLevel="0" collapsed="false">
      <c r="B22" s="9" t="s">
        <v>19</v>
      </c>
      <c r="C22" s="4" t="s">
        <v>20</v>
      </c>
      <c r="D22" s="4"/>
      <c r="E22" s="4"/>
      <c r="F22" s="4"/>
    </row>
    <row r="23" customFormat="false" ht="27.75" hidden="false" customHeight="true" outlineLevel="0" collapsed="false">
      <c r="B23" s="9" t="s">
        <v>21</v>
      </c>
      <c r="C23" s="4" t="s">
        <v>22</v>
      </c>
      <c r="D23" s="4"/>
      <c r="E23" s="4"/>
      <c r="F23" s="4"/>
    </row>
    <row r="25" customFormat="false" ht="15" hidden="false" customHeight="true" outlineLevel="0" collapsed="false">
      <c r="B25" s="4" t="s">
        <v>23</v>
      </c>
      <c r="C25" s="4"/>
      <c r="D25" s="4"/>
      <c r="E25" s="4"/>
      <c r="F25" s="4"/>
    </row>
  </sheetData>
  <mergeCells count="15">
    <mergeCell ref="A1:F1"/>
    <mergeCell ref="A2:F2"/>
    <mergeCell ref="B4:F4"/>
    <mergeCell ref="B6:F6"/>
    <mergeCell ref="B7:F7"/>
    <mergeCell ref="B8:F8"/>
    <mergeCell ref="B9:F9"/>
    <mergeCell ref="B11:F11"/>
    <mergeCell ref="B17:F17"/>
    <mergeCell ref="C19:F19"/>
    <mergeCell ref="C20:F20"/>
    <mergeCell ref="C21:F21"/>
    <mergeCell ref="C22:F22"/>
    <mergeCell ref="C23:F23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42"/>
  </cols>
  <sheetData>
    <row r="1" customFormat="false" ht="25.5" hidden="false" customHeight="true" outlineLevel="0" collapsed="false">
      <c r="A1" s="1" t="s">
        <v>24</v>
      </c>
      <c r="B1" s="1"/>
      <c r="C1" s="1"/>
      <c r="D1" s="1"/>
    </row>
    <row r="2" customFormat="false" ht="15.75" hidden="false" customHeight="true" outlineLevel="0" collapsed="false">
      <c r="A2" s="2" t="s">
        <v>25</v>
      </c>
      <c r="B2" s="2"/>
      <c r="C2" s="2"/>
      <c r="D2" s="2"/>
    </row>
    <row r="4" customFormat="false" ht="18" hidden="false" customHeight="true" outlineLevel="0" collapsed="false">
      <c r="A4" s="3" t="s">
        <v>26</v>
      </c>
      <c r="B4" s="3"/>
      <c r="C4" s="3"/>
      <c r="D4" s="3"/>
    </row>
    <row r="6" customFormat="false" ht="15" hidden="false" customHeight="false" outlineLevel="0" collapsed="false">
      <c r="A6" s="10" t="s">
        <v>27</v>
      </c>
      <c r="B6" s="10" t="s">
        <v>28</v>
      </c>
      <c r="C6" s="10" t="s">
        <v>29</v>
      </c>
      <c r="D6" s="10" t="s">
        <v>30</v>
      </c>
    </row>
    <row r="7" customFormat="false" ht="22.35" hidden="false" customHeight="false" outlineLevel="0" collapsed="false">
      <c r="A7" s="5" t="s">
        <v>31</v>
      </c>
      <c r="B7" s="11" t="n">
        <v>600</v>
      </c>
      <c r="C7" s="12" t="s">
        <v>32</v>
      </c>
      <c r="D7" s="13" t="s">
        <v>33</v>
      </c>
    </row>
    <row r="8" customFormat="false" ht="22.35" hidden="false" customHeight="false" outlineLevel="0" collapsed="false">
      <c r="A8" s="5" t="s">
        <v>34</v>
      </c>
      <c r="B8" s="14" t="n">
        <v>0.1</v>
      </c>
      <c r="C8" s="12" t="s">
        <v>35</v>
      </c>
      <c r="D8" s="13" t="s">
        <v>36</v>
      </c>
    </row>
    <row r="9" customFormat="false" ht="15" hidden="false" customHeight="false" outlineLevel="0" collapsed="false">
      <c r="A9" s="5" t="s">
        <v>37</v>
      </c>
      <c r="B9" s="11" t="n">
        <v>1</v>
      </c>
      <c r="C9" s="12" t="s">
        <v>38</v>
      </c>
    </row>
    <row r="10" customFormat="false" ht="15" hidden="false" customHeight="false" outlineLevel="0" collapsed="false">
      <c r="A10" s="5" t="s">
        <v>39</v>
      </c>
      <c r="B10" s="15" t="n">
        <f aca="false">B7*B8*B9</f>
        <v>60</v>
      </c>
      <c r="C10" s="16" t="s">
        <v>40</v>
      </c>
    </row>
    <row r="12" customFormat="false" ht="18" hidden="false" customHeight="true" outlineLevel="0" collapsed="false">
      <c r="A12" s="3" t="s">
        <v>41</v>
      </c>
      <c r="B12" s="3"/>
      <c r="C12" s="3"/>
      <c r="D12" s="3"/>
    </row>
    <row r="14" customFormat="false" ht="15" hidden="false" customHeight="false" outlineLevel="0" collapsed="false">
      <c r="A14" s="10" t="s">
        <v>27</v>
      </c>
      <c r="B14" s="10" t="s">
        <v>28</v>
      </c>
      <c r="C14" s="10" t="s">
        <v>29</v>
      </c>
      <c r="D14" s="10" t="s">
        <v>30</v>
      </c>
    </row>
    <row r="15" customFormat="false" ht="15" hidden="false" customHeight="false" outlineLevel="0" collapsed="false">
      <c r="A15" s="5" t="s">
        <v>42</v>
      </c>
      <c r="B15" s="14" t="n">
        <v>0.83</v>
      </c>
      <c r="C15" s="12" t="s">
        <v>35</v>
      </c>
      <c r="D15" s="13" t="s">
        <v>43</v>
      </c>
    </row>
    <row r="16" customFormat="false" ht="15" hidden="false" customHeight="false" outlineLevel="0" collapsed="false">
      <c r="A16" s="5" t="s">
        <v>44</v>
      </c>
      <c r="B16" s="17" t="n">
        <f aca="false">1-B15</f>
        <v>0.17</v>
      </c>
    </row>
    <row r="17" customFormat="false" ht="15" hidden="false" customHeight="false" outlineLevel="0" collapsed="false">
      <c r="A17" s="5" t="s">
        <v>45</v>
      </c>
      <c r="B17" s="15" t="n">
        <f aca="false">B10*B15</f>
        <v>49.8</v>
      </c>
      <c r="C17" s="16" t="s">
        <v>40</v>
      </c>
      <c r="D17" s="13" t="s">
        <v>46</v>
      </c>
    </row>
    <row r="18" customFormat="false" ht="15" hidden="false" customHeight="false" outlineLevel="0" collapsed="false">
      <c r="A18" s="5" t="s">
        <v>47</v>
      </c>
      <c r="B18" s="15" t="n">
        <f aca="false">B10*B16</f>
        <v>10.2</v>
      </c>
      <c r="C18" s="16" t="s">
        <v>40</v>
      </c>
      <c r="D18" s="13" t="s">
        <v>48</v>
      </c>
    </row>
    <row r="20" customFormat="false" ht="18" hidden="false" customHeight="true" outlineLevel="0" collapsed="false">
      <c r="A20" s="3" t="s">
        <v>49</v>
      </c>
      <c r="B20" s="3"/>
      <c r="C20" s="3"/>
      <c r="D20" s="3"/>
    </row>
    <row r="22" customFormat="false" ht="15" hidden="false" customHeight="false" outlineLevel="0" collapsed="false">
      <c r="A22" s="10" t="s">
        <v>27</v>
      </c>
      <c r="B22" s="10" t="s">
        <v>28</v>
      </c>
      <c r="C22" s="10" t="s">
        <v>29</v>
      </c>
      <c r="D22" s="10" t="s">
        <v>30</v>
      </c>
    </row>
    <row r="23" customFormat="false" ht="22.35" hidden="false" customHeight="false" outlineLevel="0" collapsed="false">
      <c r="A23" s="5" t="s">
        <v>50</v>
      </c>
      <c r="B23" s="14" t="n">
        <v>0.58</v>
      </c>
      <c r="C23" s="12" t="s">
        <v>35</v>
      </c>
      <c r="D23" s="13" t="s">
        <v>51</v>
      </c>
    </row>
    <row r="24" customFormat="false" ht="15" hidden="false" customHeight="false" outlineLevel="0" collapsed="false">
      <c r="A24" s="5" t="s">
        <v>52</v>
      </c>
      <c r="B24" s="15" t="n">
        <f aca="false">B10/B23</f>
        <v>103.448275862069</v>
      </c>
      <c r="C24" s="16" t="s">
        <v>40</v>
      </c>
    </row>
    <row r="25" customFormat="false" ht="15" hidden="false" customHeight="false" outlineLevel="0" collapsed="false">
      <c r="A25" s="5" t="s">
        <v>53</v>
      </c>
      <c r="B25" s="11" t="n">
        <v>3</v>
      </c>
      <c r="C25" s="12" t="s">
        <v>54</v>
      </c>
    </row>
    <row r="26" customFormat="false" ht="15" hidden="false" customHeight="false" outlineLevel="0" collapsed="false">
      <c r="A26" s="5" t="s">
        <v>55</v>
      </c>
      <c r="B26" s="15" t="n">
        <f aca="false">B24*B25</f>
        <v>310.344827586207</v>
      </c>
      <c r="C26" s="16" t="s">
        <v>40</v>
      </c>
    </row>
    <row r="28" customFormat="false" ht="18" hidden="false" customHeight="true" outlineLevel="0" collapsed="false">
      <c r="A28" s="3" t="s">
        <v>56</v>
      </c>
      <c r="B28" s="3"/>
      <c r="C28" s="3"/>
      <c r="D28" s="3"/>
    </row>
    <row r="30" customFormat="false" ht="15" hidden="false" customHeight="false" outlineLevel="0" collapsed="false">
      <c r="A30" s="10" t="s">
        <v>27</v>
      </c>
      <c r="B30" s="10" t="s">
        <v>28</v>
      </c>
      <c r="C30" s="10" t="s">
        <v>29</v>
      </c>
      <c r="D30" s="10" t="s">
        <v>30</v>
      </c>
    </row>
    <row r="31" customFormat="false" ht="15" hidden="false" customHeight="false" outlineLevel="0" collapsed="false">
      <c r="A31" s="5" t="s">
        <v>57</v>
      </c>
      <c r="B31" s="14" t="n">
        <v>0.1</v>
      </c>
      <c r="C31" s="12" t="s">
        <v>35</v>
      </c>
    </row>
    <row r="32" customFormat="false" ht="15" hidden="false" customHeight="false" outlineLevel="0" collapsed="false">
      <c r="A32" s="5" t="s">
        <v>58</v>
      </c>
      <c r="B32" s="18" t="n">
        <f aca="false">B7*B9-B10</f>
        <v>540</v>
      </c>
      <c r="C32" s="16" t="s">
        <v>40</v>
      </c>
    </row>
    <row r="33" customFormat="false" ht="15" hidden="false" customHeight="false" outlineLevel="0" collapsed="false">
      <c r="A33" s="5" t="s">
        <v>59</v>
      </c>
      <c r="B33" s="18" t="n">
        <f aca="false">B32/(1-B31)</f>
        <v>600</v>
      </c>
      <c r="C33" s="16" t="s">
        <v>40</v>
      </c>
    </row>
    <row r="34" customFormat="false" ht="15" hidden="false" customHeight="false" outlineLevel="0" collapsed="false">
      <c r="A34" s="5" t="s">
        <v>60</v>
      </c>
      <c r="B34" s="15" t="n">
        <f aca="false">B33-B26</f>
        <v>289.655172413793</v>
      </c>
      <c r="C34" s="16" t="s">
        <v>40</v>
      </c>
    </row>
    <row r="36" customFormat="false" ht="18" hidden="false" customHeight="true" outlineLevel="0" collapsed="false">
      <c r="A36" s="3" t="s">
        <v>61</v>
      </c>
      <c r="B36" s="3"/>
      <c r="C36" s="3"/>
      <c r="D36" s="3"/>
    </row>
    <row r="38" customFormat="false" ht="15" hidden="false" customHeight="false" outlineLevel="0" collapsed="false">
      <c r="A38" s="10" t="s">
        <v>62</v>
      </c>
      <c r="B38" s="10" t="s">
        <v>63</v>
      </c>
      <c r="C38" s="10"/>
      <c r="D38" s="10" t="s">
        <v>30</v>
      </c>
    </row>
    <row r="39" customFormat="false" ht="15" hidden="false" customHeight="false" outlineLevel="0" collapsed="false">
      <c r="A39" s="5" t="s">
        <v>64</v>
      </c>
      <c r="B39" s="18" t="n">
        <f aca="false">B24</f>
        <v>103.448275862069</v>
      </c>
    </row>
    <row r="40" customFormat="false" ht="15" hidden="false" customHeight="false" outlineLevel="0" collapsed="false">
      <c r="A40" s="5" t="s">
        <v>65</v>
      </c>
      <c r="B40" s="18" t="n">
        <f aca="false">B26</f>
        <v>310.344827586207</v>
      </c>
    </row>
    <row r="41" customFormat="false" ht="15" hidden="false" customHeight="false" outlineLevel="0" collapsed="false">
      <c r="A41" s="5" t="s">
        <v>66</v>
      </c>
      <c r="B41" s="18" t="n">
        <f aca="false">B34</f>
        <v>289.655172413793</v>
      </c>
    </row>
    <row r="42" customFormat="false" ht="22.35" hidden="false" customHeight="false" outlineLevel="0" collapsed="false">
      <c r="A42" s="5" t="s">
        <v>67</v>
      </c>
      <c r="B42" s="19" t="n">
        <v>0.1</v>
      </c>
      <c r="D42" s="13" t="s">
        <v>68</v>
      </c>
    </row>
    <row r="43" customFormat="false" ht="15" hidden="false" customHeight="false" outlineLevel="0" collapsed="false">
      <c r="A43" s="5" t="s">
        <v>69</v>
      </c>
      <c r="B43" s="11" t="n">
        <v>0</v>
      </c>
      <c r="D43" s="13" t="s">
        <v>70</v>
      </c>
    </row>
    <row r="44" customFormat="false" ht="15" hidden="false" customHeight="false" outlineLevel="0" collapsed="false">
      <c r="A44" s="5" t="s">
        <v>71</v>
      </c>
      <c r="B44" s="11" t="n">
        <v>0</v>
      </c>
      <c r="D44" s="13" t="s">
        <v>70</v>
      </c>
    </row>
    <row r="45" customFormat="false" ht="15" hidden="false" customHeight="false" outlineLevel="0" collapsed="false">
      <c r="A45" s="5" t="s">
        <v>72</v>
      </c>
      <c r="B45" s="11" t="n">
        <v>0</v>
      </c>
      <c r="D45" s="13" t="s">
        <v>70</v>
      </c>
    </row>
    <row r="46" customFormat="false" ht="15" hidden="false" customHeight="false" outlineLevel="0" collapsed="false">
      <c r="A46" s="9" t="s">
        <v>73</v>
      </c>
      <c r="B46" s="15" t="n">
        <f aca="false">SUM(B39:B45)</f>
        <v>703.548275862069</v>
      </c>
    </row>
    <row r="48" customFormat="false" ht="18" hidden="false" customHeight="true" outlineLevel="0" collapsed="false">
      <c r="A48" s="3" t="s">
        <v>74</v>
      </c>
      <c r="B48" s="3"/>
      <c r="C48" s="3"/>
      <c r="D48" s="3"/>
    </row>
    <row r="50" customFormat="false" ht="15" hidden="false" customHeight="false" outlineLevel="0" collapsed="false">
      <c r="A50" s="10" t="s">
        <v>62</v>
      </c>
      <c r="B50" s="10"/>
      <c r="C50" s="10" t="s">
        <v>75</v>
      </c>
      <c r="D50" s="10" t="s">
        <v>30</v>
      </c>
    </row>
    <row r="51" customFormat="false" ht="15" hidden="false" customHeight="false" outlineLevel="0" collapsed="false">
      <c r="A51" s="5" t="s">
        <v>76</v>
      </c>
      <c r="C51" s="11" t="n">
        <v>0</v>
      </c>
    </row>
    <row r="52" customFormat="false" ht="15" hidden="false" customHeight="false" outlineLevel="0" collapsed="false">
      <c r="A52" s="5" t="s">
        <v>77</v>
      </c>
      <c r="C52" s="11" t="n">
        <v>0</v>
      </c>
    </row>
    <row r="53" customFormat="false" ht="15" hidden="false" customHeight="false" outlineLevel="0" collapsed="false">
      <c r="A53" s="5" t="s">
        <v>78</v>
      </c>
      <c r="C53" s="11" t="n">
        <v>0</v>
      </c>
    </row>
    <row r="54" customFormat="false" ht="15" hidden="false" customHeight="false" outlineLevel="0" collapsed="false">
      <c r="A54" s="5" t="s">
        <v>79</v>
      </c>
      <c r="C54" s="11" t="n">
        <v>0</v>
      </c>
    </row>
    <row r="55" customFormat="false" ht="15" hidden="false" customHeight="false" outlineLevel="0" collapsed="false">
      <c r="A55" s="5" t="s">
        <v>80</v>
      </c>
      <c r="C55" s="11" t="n">
        <v>0</v>
      </c>
    </row>
    <row r="56" customFormat="false" ht="15" hidden="false" customHeight="false" outlineLevel="0" collapsed="false">
      <c r="A56" s="5" t="s">
        <v>81</v>
      </c>
      <c r="C56" s="11" t="n">
        <v>0</v>
      </c>
    </row>
    <row r="57" customFormat="false" ht="15" hidden="false" customHeight="false" outlineLevel="0" collapsed="false">
      <c r="A57" s="9" t="s">
        <v>82</v>
      </c>
      <c r="C57" s="15" t="n">
        <f aca="false">SUM(C51:C56)</f>
        <v>0</v>
      </c>
    </row>
    <row r="58" customFormat="false" ht="15" hidden="false" customHeight="false" outlineLevel="0" collapsed="false">
      <c r="A58" s="9" t="s">
        <v>83</v>
      </c>
      <c r="C58" s="15" t="n">
        <f aca="false">B46-C57</f>
        <v>703.548275862069</v>
      </c>
    </row>
    <row r="59" customFormat="false" ht="15" hidden="false" customHeight="false" outlineLevel="0" collapsed="false">
      <c r="A59" s="9" t="s">
        <v>84</v>
      </c>
      <c r="C59" s="20" t="n">
        <f aca="false">IFERROR((B46-C57)/B46,"")</f>
        <v>1</v>
      </c>
    </row>
    <row r="60" customFormat="false" ht="22.35" hidden="false" customHeight="true" outlineLevel="0" collapsed="false">
      <c r="A60" s="4" t="s">
        <v>85</v>
      </c>
      <c r="B60" s="4"/>
      <c r="C60" s="4"/>
      <c r="D60" s="4"/>
    </row>
  </sheetData>
  <mergeCells count="9">
    <mergeCell ref="A1:D1"/>
    <mergeCell ref="A2:D2"/>
    <mergeCell ref="A4:D4"/>
    <mergeCell ref="A12:D12"/>
    <mergeCell ref="A20:D20"/>
    <mergeCell ref="A28:D28"/>
    <mergeCell ref="A36:D36"/>
    <mergeCell ref="A48:D48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86</v>
      </c>
      <c r="B1" s="1"/>
      <c r="C1" s="1"/>
      <c r="D1" s="1"/>
    </row>
    <row r="2" customFormat="false" ht="15.75" hidden="false" customHeight="true" outlineLevel="0" collapsed="false">
      <c r="A2" s="2" t="s">
        <v>87</v>
      </c>
      <c r="B2" s="2"/>
      <c r="C2" s="2"/>
      <c r="D2" s="2"/>
    </row>
    <row r="4" customFormat="false" ht="18" hidden="false" customHeight="true" outlineLevel="0" collapsed="false">
      <c r="A4" s="3" t="s">
        <v>88</v>
      </c>
      <c r="B4" s="3"/>
      <c r="C4" s="3"/>
      <c r="D4" s="3"/>
    </row>
    <row r="6" customFormat="false" ht="15" hidden="false" customHeight="false" outlineLevel="0" collapsed="false">
      <c r="A6" s="10" t="s">
        <v>27</v>
      </c>
      <c r="B6" s="10" t="s">
        <v>28</v>
      </c>
      <c r="C6" s="10" t="s">
        <v>29</v>
      </c>
      <c r="D6" s="10" t="s">
        <v>30</v>
      </c>
    </row>
    <row r="7" customFormat="false" ht="15" hidden="false" customHeight="false" outlineLevel="0" collapsed="false">
      <c r="A7" s="5" t="s">
        <v>89</v>
      </c>
      <c r="B7" s="11" t="n">
        <v>100000</v>
      </c>
      <c r="C7" s="12" t="s">
        <v>90</v>
      </c>
    </row>
    <row r="8" customFormat="false" ht="15" hidden="false" customHeight="false" outlineLevel="0" collapsed="false">
      <c r="A8" s="5" t="s">
        <v>91</v>
      </c>
      <c r="B8" s="14" t="n">
        <v>0.72</v>
      </c>
      <c r="C8" s="12" t="s">
        <v>35</v>
      </c>
    </row>
    <row r="9" customFormat="false" ht="15" hidden="false" customHeight="false" outlineLevel="0" collapsed="false">
      <c r="A9" s="5" t="s">
        <v>92</v>
      </c>
      <c r="B9" s="11" t="n">
        <v>998</v>
      </c>
      <c r="C9" s="12" t="s">
        <v>93</v>
      </c>
    </row>
    <row r="10" customFormat="false" ht="15" hidden="false" customHeight="false" outlineLevel="0" collapsed="false">
      <c r="A10" s="5" t="s">
        <v>94</v>
      </c>
      <c r="B10" s="11" t="n">
        <v>4.186</v>
      </c>
      <c r="C10" s="12" t="s">
        <v>95</v>
      </c>
    </row>
    <row r="11" customFormat="false" ht="15" hidden="false" customHeight="false" outlineLevel="0" collapsed="false">
      <c r="A11" s="5" t="s">
        <v>96</v>
      </c>
      <c r="B11" s="11" t="n">
        <v>0.5</v>
      </c>
      <c r="C11" s="12" t="s">
        <v>97</v>
      </c>
    </row>
    <row r="12" customFormat="false" ht="15" hidden="false" customHeight="false" outlineLevel="0" collapsed="false">
      <c r="A12" s="5" t="s">
        <v>98</v>
      </c>
      <c r="B12" s="11" t="n">
        <v>101325</v>
      </c>
      <c r="C12" s="12" t="s">
        <v>90</v>
      </c>
    </row>
    <row r="13" customFormat="false" ht="22.35" hidden="false" customHeight="false" outlineLevel="0" collapsed="false">
      <c r="A13" s="5" t="s">
        <v>99</v>
      </c>
      <c r="B13" s="11" t="n">
        <v>2339</v>
      </c>
      <c r="C13" s="12" t="s">
        <v>90</v>
      </c>
      <c r="D13" s="13" t="s">
        <v>100</v>
      </c>
    </row>
    <row r="15" customFormat="false" ht="18" hidden="false" customHeight="true" outlineLevel="0" collapsed="false">
      <c r="A15" s="3" t="s">
        <v>101</v>
      </c>
      <c r="B15" s="3"/>
      <c r="C15" s="3"/>
      <c r="D15" s="3"/>
    </row>
    <row r="17" customFormat="false" ht="15" hidden="false" customHeight="false" outlineLevel="0" collapsed="false">
      <c r="A17" s="10" t="s">
        <v>102</v>
      </c>
      <c r="B17" s="10" t="s">
        <v>28</v>
      </c>
      <c r="C17" s="10" t="s">
        <v>29</v>
      </c>
      <c r="D17" s="10" t="s">
        <v>103</v>
      </c>
    </row>
    <row r="18" customFormat="false" ht="15" hidden="false" customHeight="false" outlineLevel="0" collapsed="false">
      <c r="A18" s="5" t="s">
        <v>104</v>
      </c>
      <c r="B18" s="18" t="n">
        <f aca="false">B7/B9/1000</f>
        <v>0.100200400801603</v>
      </c>
      <c r="C18" s="16" t="s">
        <v>105</v>
      </c>
    </row>
    <row r="19" customFormat="false" ht="15" hidden="false" customHeight="false" outlineLevel="0" collapsed="false">
      <c r="A19" s="5" t="s">
        <v>106</v>
      </c>
      <c r="B19" s="18" t="n">
        <f aca="false">B18/B8</f>
        <v>0.13916722333556</v>
      </c>
      <c r="C19" s="16" t="s">
        <v>105</v>
      </c>
    </row>
    <row r="20" customFormat="false" ht="15" hidden="false" customHeight="false" outlineLevel="0" collapsed="false">
      <c r="A20" s="5" t="s">
        <v>107</v>
      </c>
      <c r="B20" s="21" t="n">
        <f aca="false">(B19-B18)/B10</f>
        <v>0.00930884437027158</v>
      </c>
      <c r="C20" s="16" t="s">
        <v>108</v>
      </c>
    </row>
    <row r="21" customFormat="false" ht="15" hidden="false" customHeight="false" outlineLevel="0" collapsed="false">
      <c r="A21" s="5" t="s">
        <v>109</v>
      </c>
      <c r="B21" s="22" t="n">
        <f aca="false">B11*B19</f>
        <v>0.06958361166778</v>
      </c>
      <c r="C21" s="16" t="s">
        <v>110</v>
      </c>
    </row>
    <row r="22" customFormat="false" ht="15" hidden="false" customHeight="false" outlineLevel="0" collapsed="false">
      <c r="A22" s="5" t="s">
        <v>111</v>
      </c>
      <c r="B22" s="18" t="n">
        <f aca="false">B7/(B9*9.81)</f>
        <v>10.21410813472</v>
      </c>
      <c r="C22" s="16" t="s">
        <v>112</v>
      </c>
    </row>
    <row r="23" customFormat="false" ht="15" hidden="false" customHeight="false" outlineLevel="0" collapsed="false">
      <c r="A23" s="5" t="s">
        <v>113</v>
      </c>
      <c r="B23" s="15" t="n">
        <f aca="false">(B12-B13)/(B9*9.81)</f>
        <v>10.1105370782339</v>
      </c>
      <c r="C23" s="16" t="s">
        <v>112</v>
      </c>
    </row>
    <row r="25" customFormat="false" ht="18" hidden="false" customHeight="true" outlineLevel="0" collapsed="false">
      <c r="A25" s="3" t="s">
        <v>114</v>
      </c>
      <c r="B25" s="3"/>
      <c r="C25" s="3"/>
      <c r="D25" s="3"/>
    </row>
    <row r="27" customFormat="false" ht="15" hidden="false" customHeight="false" outlineLevel="0" collapsed="false">
      <c r="A27" s="10" t="s">
        <v>102</v>
      </c>
      <c r="B27" s="10" t="s">
        <v>115</v>
      </c>
      <c r="C27" s="10" t="s">
        <v>116</v>
      </c>
      <c r="D27" s="10" t="s">
        <v>117</v>
      </c>
    </row>
    <row r="28" customFormat="false" ht="15" hidden="false" customHeight="false" outlineLevel="0" collapsed="false">
      <c r="A28" s="5" t="s">
        <v>118</v>
      </c>
      <c r="B28" s="21" t="n">
        <f aca="false">B20</f>
        <v>0.00930884437027158</v>
      </c>
      <c r="C28" s="23" t="n">
        <v>0</v>
      </c>
      <c r="D28" s="17" t="str">
        <f aca="false">IF(C28=0,"",IFERROR((C28-B28)/B28,""))</f>
        <v/>
      </c>
    </row>
    <row r="29" customFormat="false" ht="15" hidden="false" customHeight="false" outlineLevel="0" collapsed="false">
      <c r="A29" s="5" t="s">
        <v>119</v>
      </c>
      <c r="B29" s="21" t="n">
        <f aca="false">B21</f>
        <v>0.06958361166778</v>
      </c>
      <c r="C29" s="23" t="n">
        <v>0</v>
      </c>
      <c r="D29" s="17" t="str">
        <f aca="false">IF(C29=0,"",IFERROR((C29-B29)/B29,""))</f>
        <v/>
      </c>
    </row>
    <row r="30" customFormat="false" ht="15" hidden="false" customHeight="false" outlineLevel="0" collapsed="false">
      <c r="A30" s="5" t="s">
        <v>120</v>
      </c>
      <c r="B30" s="18" t="n">
        <f aca="false">B23</f>
        <v>10.1105370782339</v>
      </c>
      <c r="C30" s="11" t="n">
        <v>0</v>
      </c>
      <c r="D30" s="17" t="str">
        <f aca="false">IF(C30=0,"",IFERROR((C30-B30)/B30,""))</f>
        <v/>
      </c>
    </row>
  </sheetData>
  <mergeCells count="5">
    <mergeCell ref="A1:D1"/>
    <mergeCell ref="A2:D2"/>
    <mergeCell ref="A4:D4"/>
    <mergeCell ref="A15:D15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</row>
    <row r="2" customFormat="false" ht="15.75" hidden="false" customHeight="true" outlineLevel="0" collapsed="false">
      <c r="A2" s="2" t="s">
        <v>122</v>
      </c>
      <c r="B2" s="2"/>
      <c r="C2" s="2"/>
      <c r="D2" s="2"/>
    </row>
    <row r="4" customFormat="false" ht="18" hidden="false" customHeight="true" outlineLevel="0" collapsed="false">
      <c r="A4" s="3" t="s">
        <v>123</v>
      </c>
      <c r="B4" s="3"/>
      <c r="C4" s="3"/>
      <c r="D4" s="3"/>
    </row>
    <row r="6" customFormat="false" ht="15" hidden="false" customHeight="false" outlineLevel="0" collapsed="false">
      <c r="A6" s="10" t="s">
        <v>27</v>
      </c>
      <c r="B6" s="10" t="s">
        <v>28</v>
      </c>
      <c r="C6" s="10" t="s">
        <v>29</v>
      </c>
      <c r="D6" s="10" t="s">
        <v>30</v>
      </c>
    </row>
    <row r="7" customFormat="false" ht="22.35" hidden="false" customHeight="false" outlineLevel="0" collapsed="false">
      <c r="A7" s="5" t="s">
        <v>124</v>
      </c>
      <c r="B7" s="11" t="n">
        <v>600</v>
      </c>
      <c r="C7" s="12" t="s">
        <v>40</v>
      </c>
      <c r="D7" s="13" t="s">
        <v>125</v>
      </c>
    </row>
    <row r="8" customFormat="false" ht="15" hidden="false" customHeight="false" outlineLevel="0" collapsed="false">
      <c r="A8" s="5" t="s">
        <v>126</v>
      </c>
      <c r="B8" s="11" t="n">
        <v>4</v>
      </c>
      <c r="C8" s="12" t="s">
        <v>95</v>
      </c>
      <c r="D8" s="13" t="s">
        <v>127</v>
      </c>
    </row>
    <row r="9" customFormat="false" ht="15" hidden="false" customHeight="false" outlineLevel="0" collapsed="false">
      <c r="A9" s="5" t="s">
        <v>128</v>
      </c>
      <c r="B9" s="11" t="n">
        <v>100</v>
      </c>
      <c r="C9" s="12" t="s">
        <v>108</v>
      </c>
    </row>
    <row r="10" customFormat="false" ht="15" hidden="false" customHeight="false" outlineLevel="0" collapsed="false">
      <c r="A10" s="5" t="s">
        <v>129</v>
      </c>
      <c r="B10" s="11" t="n">
        <v>20</v>
      </c>
      <c r="C10" s="12" t="s">
        <v>108</v>
      </c>
    </row>
    <row r="11" customFormat="false" ht="15" hidden="false" customHeight="false" outlineLevel="0" collapsed="false">
      <c r="A11" s="5" t="s">
        <v>130</v>
      </c>
      <c r="B11" s="11" t="n">
        <v>30</v>
      </c>
      <c r="C11" s="12" t="s">
        <v>131</v>
      </c>
    </row>
    <row r="13" customFormat="false" ht="18" hidden="false" customHeight="true" outlineLevel="0" collapsed="false">
      <c r="A13" s="3" t="s">
        <v>101</v>
      </c>
      <c r="B13" s="3"/>
      <c r="C13" s="3"/>
      <c r="D13" s="3"/>
    </row>
    <row r="15" customFormat="false" ht="15" hidden="false" customHeight="false" outlineLevel="0" collapsed="false">
      <c r="A15" s="10" t="s">
        <v>102</v>
      </c>
      <c r="B15" s="10" t="s">
        <v>28</v>
      </c>
      <c r="C15" s="10" t="s">
        <v>29</v>
      </c>
      <c r="D15" s="10" t="s">
        <v>103</v>
      </c>
    </row>
    <row r="16" customFormat="false" ht="15" hidden="false" customHeight="false" outlineLevel="0" collapsed="false">
      <c r="A16" s="5" t="s">
        <v>132</v>
      </c>
      <c r="B16" s="24" t="n">
        <f aca="false">B9-B10</f>
        <v>80</v>
      </c>
      <c r="C16" s="16" t="s">
        <v>108</v>
      </c>
    </row>
    <row r="17" customFormat="false" ht="15" hidden="false" customHeight="false" outlineLevel="0" collapsed="false">
      <c r="A17" s="5" t="s">
        <v>133</v>
      </c>
      <c r="B17" s="25" t="n">
        <f aca="false">B7*B8*B16</f>
        <v>192000</v>
      </c>
      <c r="C17" s="16" t="s">
        <v>134</v>
      </c>
    </row>
    <row r="18" customFormat="false" ht="15" hidden="false" customHeight="false" outlineLevel="0" collapsed="false">
      <c r="A18" s="5" t="s">
        <v>135</v>
      </c>
      <c r="B18" s="26" t="n">
        <f aca="false">B17/3600</f>
        <v>53.3333333333333</v>
      </c>
      <c r="C18" s="16" t="s">
        <v>136</v>
      </c>
    </row>
    <row r="19" customFormat="false" ht="15" hidden="false" customHeight="false" outlineLevel="0" collapsed="false">
      <c r="A19" s="5" t="s">
        <v>137</v>
      </c>
      <c r="B19" s="27" t="n">
        <f aca="false">B17/(B11*60)</f>
        <v>106.666666666667</v>
      </c>
      <c r="C19" s="16" t="s">
        <v>110</v>
      </c>
    </row>
    <row r="21" customFormat="false" ht="18" hidden="false" customHeight="true" outlineLevel="0" collapsed="false">
      <c r="A21" s="3" t="s">
        <v>114</v>
      </c>
      <c r="B21" s="3"/>
      <c r="C21" s="3"/>
      <c r="D21" s="3"/>
    </row>
    <row r="23" customFormat="false" ht="15" hidden="false" customHeight="false" outlineLevel="0" collapsed="false">
      <c r="A23" s="10" t="s">
        <v>102</v>
      </c>
      <c r="B23" s="10" t="s">
        <v>115</v>
      </c>
      <c r="C23" s="10" t="s">
        <v>138</v>
      </c>
      <c r="D23" s="10" t="s">
        <v>117</v>
      </c>
    </row>
    <row r="24" customFormat="false" ht="15" hidden="false" customHeight="false" outlineLevel="0" collapsed="false">
      <c r="A24" s="5" t="s">
        <v>139</v>
      </c>
      <c r="B24" s="28" t="n">
        <f aca="false">B17</f>
        <v>192000</v>
      </c>
      <c r="C24" s="29" t="n">
        <v>0</v>
      </c>
      <c r="D24" s="17" t="str">
        <f aca="false">IF(C24=0,"",IFERROR((C24-B24)/B24,""))</f>
        <v/>
      </c>
    </row>
  </sheetData>
  <mergeCells count="5">
    <mergeCell ref="A1:D1"/>
    <mergeCell ref="A2:D2"/>
    <mergeCell ref="A4:D4"/>
    <mergeCell ref="A13:D1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140</v>
      </c>
      <c r="B1" s="1"/>
      <c r="C1" s="1"/>
      <c r="D1" s="1"/>
    </row>
    <row r="2" customFormat="false" ht="15.75" hidden="false" customHeight="true" outlineLevel="0" collapsed="false">
      <c r="A2" s="2" t="s">
        <v>141</v>
      </c>
      <c r="B2" s="2"/>
      <c r="C2" s="2"/>
      <c r="D2" s="2"/>
    </row>
    <row r="4" customFormat="false" ht="18" hidden="false" customHeight="true" outlineLevel="0" collapsed="false">
      <c r="A4" s="3" t="s">
        <v>142</v>
      </c>
      <c r="B4" s="3"/>
      <c r="C4" s="3"/>
      <c r="D4" s="3"/>
    </row>
    <row r="6" customFormat="false" ht="15" hidden="false" customHeight="false" outlineLevel="0" collapsed="false">
      <c r="A6" s="10" t="s">
        <v>27</v>
      </c>
      <c r="B6" s="10" t="s">
        <v>28</v>
      </c>
      <c r="C6" s="10" t="s">
        <v>29</v>
      </c>
      <c r="D6" s="10" t="s">
        <v>30</v>
      </c>
    </row>
    <row r="7" customFormat="false" ht="22.35" hidden="false" customHeight="false" outlineLevel="0" collapsed="false">
      <c r="A7" s="5" t="s">
        <v>143</v>
      </c>
      <c r="B7" s="18" t="n">
        <f aca="false">'Balance de materia'!B18</f>
        <v>10.2</v>
      </c>
      <c r="C7" s="12" t="s">
        <v>40</v>
      </c>
      <c r="D7" s="13" t="s">
        <v>144</v>
      </c>
    </row>
    <row r="8" customFormat="false" ht="22.35" hidden="false" customHeight="false" outlineLevel="0" collapsed="false">
      <c r="A8" s="5" t="s">
        <v>145</v>
      </c>
      <c r="B8" s="18" t="n">
        <f aca="false">'Balance de materia'!B17</f>
        <v>49.8</v>
      </c>
      <c r="C8" s="12" t="s">
        <v>40</v>
      </c>
      <c r="D8" s="13" t="s">
        <v>146</v>
      </c>
    </row>
    <row r="9" customFormat="false" ht="22.35" hidden="false" customHeight="false" outlineLevel="0" collapsed="false">
      <c r="A9" s="5" t="s">
        <v>147</v>
      </c>
      <c r="B9" s="28" t="n">
        <f aca="false">'Balance de materia'!B7</f>
        <v>600</v>
      </c>
      <c r="C9" s="12" t="s">
        <v>32</v>
      </c>
      <c r="D9" s="13" t="s">
        <v>148</v>
      </c>
    </row>
    <row r="10" customFormat="false" ht="22.35" hidden="false" customHeight="false" outlineLevel="0" collapsed="false">
      <c r="A10" s="5" t="s">
        <v>149</v>
      </c>
      <c r="B10" s="11" t="n">
        <v>0.53</v>
      </c>
      <c r="C10" s="12" t="s">
        <v>150</v>
      </c>
      <c r="D10" s="13" t="s">
        <v>151</v>
      </c>
    </row>
    <row r="11" customFormat="false" ht="15" hidden="false" customHeight="false" outlineLevel="0" collapsed="false">
      <c r="A11" s="5" t="s">
        <v>152</v>
      </c>
      <c r="B11" s="11" t="n">
        <v>0.789</v>
      </c>
      <c r="C11" s="12" t="s">
        <v>38</v>
      </c>
    </row>
    <row r="12" customFormat="false" ht="22.35" hidden="false" customHeight="false" outlineLevel="0" collapsed="false">
      <c r="A12" s="5" t="s">
        <v>153</v>
      </c>
      <c r="B12" s="30" t="n">
        <v>0.005</v>
      </c>
      <c r="C12" s="12" t="s">
        <v>154</v>
      </c>
      <c r="D12" s="13" t="s">
        <v>155</v>
      </c>
    </row>
    <row r="14" customFormat="false" ht="18" hidden="false" customHeight="true" outlineLevel="0" collapsed="false">
      <c r="A14" s="3" t="s">
        <v>156</v>
      </c>
      <c r="B14" s="3"/>
      <c r="C14" s="3"/>
      <c r="D14" s="3"/>
    </row>
    <row r="16" customFormat="false" ht="15" hidden="false" customHeight="false" outlineLevel="0" collapsed="false">
      <c r="A16" s="10" t="s">
        <v>102</v>
      </c>
      <c r="B16" s="10" t="s">
        <v>28</v>
      </c>
      <c r="C16" s="10" t="s">
        <v>29</v>
      </c>
      <c r="D16" s="10" t="s">
        <v>103</v>
      </c>
    </row>
    <row r="17" customFormat="false" ht="15" hidden="false" customHeight="false" outlineLevel="0" collapsed="false">
      <c r="A17" s="5" t="s">
        <v>157</v>
      </c>
      <c r="B17" s="18" t="n">
        <f aca="false">B7+B8</f>
        <v>60</v>
      </c>
      <c r="C17" s="16" t="s">
        <v>40</v>
      </c>
    </row>
    <row r="18" customFormat="false" ht="15" hidden="false" customHeight="false" outlineLevel="0" collapsed="false">
      <c r="A18" s="5" t="s">
        <v>158</v>
      </c>
      <c r="B18" s="18" t="n">
        <f aca="false">B17*B10</f>
        <v>31.8</v>
      </c>
      <c r="C18" s="16" t="s">
        <v>40</v>
      </c>
    </row>
    <row r="19" customFormat="false" ht="15" hidden="false" customHeight="false" outlineLevel="0" collapsed="false">
      <c r="A19" s="5" t="s">
        <v>159</v>
      </c>
      <c r="B19" s="26" t="n">
        <f aca="false">B12*B11*1000</f>
        <v>3.945</v>
      </c>
      <c r="C19" s="16" t="s">
        <v>160</v>
      </c>
    </row>
    <row r="20" customFormat="false" ht="15" hidden="false" customHeight="false" outlineLevel="0" collapsed="false">
      <c r="A20" s="5" t="s">
        <v>161</v>
      </c>
      <c r="B20" s="18" t="n">
        <f aca="false">B19*B9/1000</f>
        <v>2.367</v>
      </c>
      <c r="C20" s="16" t="s">
        <v>40</v>
      </c>
    </row>
    <row r="21" customFormat="false" ht="22.35" hidden="false" customHeight="false" outlineLevel="0" collapsed="false">
      <c r="A21" s="5" t="s">
        <v>162</v>
      </c>
      <c r="B21" s="31" t="n">
        <f aca="false">IFERROR(B20/B18,"")</f>
        <v>0.074433962264151</v>
      </c>
      <c r="C21" s="16" t="s">
        <v>163</v>
      </c>
      <c r="D21" s="13" t="s">
        <v>164</v>
      </c>
    </row>
    <row r="23" customFormat="false" ht="18" hidden="false" customHeight="true" outlineLevel="0" collapsed="false">
      <c r="A23" s="3" t="s">
        <v>165</v>
      </c>
      <c r="B23" s="3"/>
      <c r="C23" s="3"/>
      <c r="D23" s="3"/>
    </row>
    <row r="25" customFormat="false" ht="15" hidden="false" customHeight="false" outlineLevel="0" collapsed="false">
      <c r="A25" s="10" t="s">
        <v>27</v>
      </c>
      <c r="B25" s="10" t="s">
        <v>28</v>
      </c>
      <c r="C25" s="10" t="s">
        <v>29</v>
      </c>
      <c r="D25" s="10" t="s">
        <v>30</v>
      </c>
    </row>
    <row r="26" customFormat="false" ht="15" hidden="false" customHeight="false" outlineLevel="0" collapsed="false">
      <c r="A26" s="5" t="s">
        <v>166</v>
      </c>
      <c r="B26" s="14" t="n">
        <v>0</v>
      </c>
    </row>
    <row r="27" customFormat="false" ht="15" hidden="false" customHeight="false" outlineLevel="0" collapsed="false">
      <c r="A27" s="5" t="s">
        <v>167</v>
      </c>
      <c r="B27" s="11" t="n">
        <v>0</v>
      </c>
      <c r="C27" s="16" t="s">
        <v>40</v>
      </c>
    </row>
    <row r="28" customFormat="false" ht="15" hidden="false" customHeight="false" outlineLevel="0" collapsed="false">
      <c r="A28" s="5" t="s">
        <v>168</v>
      </c>
      <c r="B28" s="20" t="str">
        <f aca="false">IF(B27=0,"",IFERROR((B27/B11)/B9*100,""))</f>
        <v/>
      </c>
    </row>
    <row r="29" customFormat="false" ht="15" hidden="false" customHeight="false" outlineLevel="0" collapsed="false">
      <c r="A29" s="5" t="s">
        <v>169</v>
      </c>
      <c r="B29" s="7" t="str">
        <f aca="false">IF(B28="","",IF(B28&lt;=B12,"Sí","No — bajá el Conversion% y volvé a correr"))</f>
        <v/>
      </c>
    </row>
  </sheetData>
  <mergeCells count="5">
    <mergeCell ref="A1:D1"/>
    <mergeCell ref="A2:D2"/>
    <mergeCell ref="A4:D4"/>
    <mergeCell ref="A14:D14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170</v>
      </c>
      <c r="B1" s="1"/>
      <c r="C1" s="1"/>
      <c r="D1" s="1"/>
    </row>
    <row r="2" customFormat="false" ht="15.75" hidden="false" customHeight="true" outlineLevel="0" collapsed="false">
      <c r="A2" s="2" t="s">
        <v>171</v>
      </c>
      <c r="B2" s="2"/>
      <c r="C2" s="2"/>
      <c r="D2" s="2"/>
    </row>
    <row r="4" customFormat="false" ht="15" hidden="false" customHeight="false" outlineLevel="0" collapsed="false">
      <c r="A4" s="10" t="s">
        <v>172</v>
      </c>
      <c r="B4" s="10" t="s">
        <v>101</v>
      </c>
      <c r="C4" s="10" t="s">
        <v>116</v>
      </c>
      <c r="D4" s="10" t="s">
        <v>117</v>
      </c>
    </row>
    <row r="5" customFormat="false" ht="15" hidden="false" customHeight="false" outlineLevel="0" collapsed="false">
      <c r="A5" s="5" t="s">
        <v>173</v>
      </c>
      <c r="B5" s="21" t="n">
        <f aca="false">Bomba!B20</f>
        <v>0.00930884437027158</v>
      </c>
      <c r="C5" s="21" t="n">
        <f aca="false">Bomba!C28</f>
        <v>0</v>
      </c>
      <c r="D5" s="17" t="str">
        <f aca="false">IF(C5=0,"",IFERROR((C5-B5)/B5,""))</f>
        <v/>
      </c>
    </row>
    <row r="6" customFormat="false" ht="15" hidden="false" customHeight="false" outlineLevel="0" collapsed="false">
      <c r="A6" s="5" t="s">
        <v>174</v>
      </c>
      <c r="B6" s="21" t="n">
        <f aca="false">Bomba!B21</f>
        <v>0.06958361166778</v>
      </c>
      <c r="C6" s="21" t="n">
        <f aca="false">Bomba!C29</f>
        <v>0</v>
      </c>
      <c r="D6" s="17" t="str">
        <f aca="false">IF(C6=0,"",IFERROR((C6-B6)/B6,""))</f>
        <v/>
      </c>
    </row>
    <row r="7" customFormat="false" ht="15" hidden="false" customHeight="false" outlineLevel="0" collapsed="false">
      <c r="A7" s="5" t="s">
        <v>175</v>
      </c>
      <c r="B7" s="18" t="n">
        <f aca="false">Bomba!B23</f>
        <v>10.1105370782339</v>
      </c>
      <c r="C7" s="18" t="n">
        <f aca="false">Bomba!C30</f>
        <v>0</v>
      </c>
      <c r="D7" s="17" t="str">
        <f aca="false">IF(C7=0,"",IFERROR((C7-B7)/B7,""))</f>
        <v/>
      </c>
    </row>
    <row r="8" customFormat="false" ht="15" hidden="false" customHeight="false" outlineLevel="0" collapsed="false">
      <c r="A8" s="5" t="s">
        <v>176</v>
      </c>
      <c r="B8" s="28" t="n">
        <f aca="false">Intercambiador!B17</f>
        <v>192000</v>
      </c>
      <c r="C8" s="28" t="n">
        <f aca="false">Intercambiador!C24</f>
        <v>0</v>
      </c>
      <c r="D8" s="17" t="str">
        <f aca="false">IF(C8=0,"",IFERROR((C8-B8)/B8,""))</f>
        <v/>
      </c>
    </row>
    <row r="9" customFormat="false" ht="15" hidden="false" customHeight="false" outlineLevel="0" collapsed="false">
      <c r="A9" s="5" t="s">
        <v>177</v>
      </c>
      <c r="B9" s="32" t="n">
        <f aca="false">Fermentador!B21</f>
        <v>0.074433962264151</v>
      </c>
      <c r="C9" s="32" t="n">
        <f aca="false">Fermentador!B26</f>
        <v>0</v>
      </c>
      <c r="D9" s="17" t="str">
        <f aca="false">IF(C9=0,"",IFERROR((C9-B9)/B9,""))</f>
        <v/>
      </c>
    </row>
    <row r="11" customFormat="false" ht="30" hidden="false" customHeight="true" outlineLevel="0" collapsed="false">
      <c r="A11" s="4" t="s">
        <v>178</v>
      </c>
      <c r="B11" s="4"/>
      <c r="C11" s="4"/>
      <c r="D11" s="4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2026-09-06T22:41:00Z</dcterms:created>
  <dc:creator>openpyxl</dc:creator>
  <dc:description/>
  <dc:language>en-US</dc:language>
  <cp:lastModifiedBy/>
  <dcterms:modified xsi:type="dcterms:W3CDTF">2026-09-06T22:41:00Z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